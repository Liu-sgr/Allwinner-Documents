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910" windowHeight="13395"/>
  </bookViews>
  <sheets>
    <sheet name="Title" sheetId="1" r:id="rId1"/>
    <sheet name="Project" sheetId="2" r:id="rId2"/>
    <sheet name="Design" sheetId="3" r:id="rId3"/>
    <sheet name="Placement" sheetId="4" r:id="rId4"/>
    <sheet name="Routing" sheetId="5" r:id="rId5"/>
    <sheet name="Silkscreen" sheetId="6" r:id="rId6"/>
    <sheet name="DRC" sheetId="7" r:id="rId7"/>
    <sheet name="GerberOut" sheetId="8" r:id="rId8"/>
  </sheets>
  <externalReferences>
    <externalReference r:id="rId9"/>
  </externalReferences>
  <calcPr calcId="144525" concurrentCalc="0"/>
</workbook>
</file>

<file path=xl/sharedStrings.xml><?xml version="1.0" encoding="utf-8"?>
<sst xmlns="http://schemas.openxmlformats.org/spreadsheetml/2006/main" count="182">
  <si>
    <r>
      <rPr>
        <b/>
        <sz val="16"/>
        <color indexed="48"/>
        <rFont val="宋体"/>
        <charset val="134"/>
      </rPr>
      <t xml:space="preserve">           Allwinner Technology CO.,</t>
    </r>
    <r>
      <rPr>
        <b/>
        <sz val="16"/>
        <color indexed="48"/>
        <rFont val="Times New Roman"/>
        <charset val="134"/>
      </rPr>
      <t xml:space="preserve"> Ltd</t>
    </r>
    <r>
      <rPr>
        <b/>
        <sz val="16"/>
        <color indexed="48"/>
        <rFont val="宋体"/>
        <charset val="134"/>
      </rPr>
      <t xml:space="preserve">. </t>
    </r>
    <r>
      <rPr>
        <b/>
        <sz val="14"/>
        <color indexed="48"/>
        <rFont val="宋体"/>
        <charset val="134"/>
      </rPr>
      <t xml:space="preserve">   </t>
    </r>
  </si>
  <si>
    <t>MR813 PCB Design Checklist</t>
  </si>
  <si>
    <t>V1.0</t>
  </si>
  <si>
    <t xml:space="preserve">Declaration
This document is the original work and copyrighted property of Allwinner Technology (“Allwinner”). Reproduction in whole or in part must obtain the written approval of Allwinner and give clear acknowledgement to the copyright owner.
The information furnished by Allwinner is believed to be accurate and reliable. Allwinner reserves the right to make changes in circuit design and/or specifications at any time without notice. Allwinner does not assume any responsibility and liability for its use. Nor for any infringements of patents or other rights of the third parties which may result from its use. No license is granted by implication or otherwise under any patent or patent rights of Allwinner. This document neither states nor implies warranty of any kind, including fitness for any particular application. </t>
  </si>
  <si>
    <t>客户项目信息登记表</t>
  </si>
  <si>
    <t>客户：</t>
  </si>
  <si>
    <t>XXX有限公司</t>
  </si>
  <si>
    <t>项目：</t>
  </si>
  <si>
    <t>XXX</t>
  </si>
  <si>
    <t>设计者：</t>
  </si>
  <si>
    <t>自检情况汇总：</t>
  </si>
  <si>
    <t>COUNT</t>
  </si>
  <si>
    <t>PASS</t>
  </si>
  <si>
    <t>FAIL</t>
  </si>
  <si>
    <t>NA</t>
  </si>
  <si>
    <t>自检合格率</t>
  </si>
  <si>
    <t>使用说明：</t>
  </si>
  <si>
    <t>1、贵司在完成产品PCB设计后，需按照checklist内容逐一完成自检，确保PCB设计无误。</t>
  </si>
  <si>
    <t>2、若申请我司工程师审核PCB，请务必提交此表格，且自检通过率必须达到95%以上，FAIL项需说明具体原因。</t>
  </si>
  <si>
    <t>序号</t>
  </si>
  <si>
    <t>分类</t>
  </si>
  <si>
    <t>检查内容</t>
  </si>
  <si>
    <t>自检</t>
  </si>
  <si>
    <t>处理结果</t>
  </si>
  <si>
    <t>结果</t>
  </si>
  <si>
    <t>Fail情况说明</t>
  </si>
  <si>
    <t>原理图DRC，Electric Rules和Physical Rules检查没有Error和Warning。</t>
  </si>
  <si>
    <t>是否根据结构图要求，添加Board Outline，Keepout区域、丝印、裸铜，钻孔等，位置、大小是否与结构图一致。</t>
  </si>
  <si>
    <t>XXXXX</t>
  </si>
  <si>
    <t>在Route Keepin-All定义布线区域，在板框基础上内缩10mil。</t>
  </si>
  <si>
    <t>设定Shape Format为Gerber RS274X（allegro）；</t>
  </si>
  <si>
    <t>设定Thermal relief connects type，Thru pins/Smd pins十字形连接，连接线宽20mil。Vias全连接。</t>
  </si>
  <si>
    <t>约束管理器的DRC mode和On-line DRC是否开启（allegro）</t>
  </si>
  <si>
    <r>
      <rPr>
        <sz val="12"/>
        <rFont val="微软雅黑"/>
        <charset val="134"/>
      </rPr>
      <t>叠层结构、材料性质是否上下对称；</t>
    </r>
    <r>
      <rPr>
        <b/>
        <sz val="12"/>
        <rFont val="微软雅黑"/>
        <charset val="134"/>
      </rPr>
      <t>介电常数是否合理。</t>
    </r>
    <r>
      <rPr>
        <sz val="12"/>
        <rFont val="微软雅黑"/>
        <charset val="134"/>
      </rPr>
      <t>（包括介质类型、介质厚度、铜厚、残铜率等）。</t>
    </r>
  </si>
  <si>
    <t>介质厚度≥2.8mil。</t>
  </si>
  <si>
    <t>基铜厚度小于2OZ，一般取内层1OZ，外层1/3-1/2OZ。线间距越小，生产工艺允许的基铜厚度越小。</t>
  </si>
  <si>
    <r>
      <rPr>
        <sz val="12"/>
        <rFont val="微软雅黑"/>
        <charset val="134"/>
      </rPr>
      <t>叠层满足阻抗要求。</t>
    </r>
    <r>
      <rPr>
        <b/>
        <sz val="12"/>
        <rFont val="微软雅黑"/>
        <charset val="134"/>
      </rPr>
      <t>推荐采用全志参考叠层，若必须调整叠层，请尽量避免调整信号层与参考平面间的介质层。</t>
    </r>
  </si>
  <si>
    <t>封装</t>
  </si>
  <si>
    <t>器件库的路径是否链接到相应的标准库</t>
  </si>
  <si>
    <t>新建的封装是否评审通过。</t>
  </si>
  <si>
    <t>布局</t>
  </si>
  <si>
    <t>结构器件的位置、方向、Pin1、孔径大小是否与结构图相符；</t>
  </si>
  <si>
    <t>器件在整板分布均匀。</t>
  </si>
  <si>
    <t>极性器件摆放方向尽量单一，左右方向单一，上下方向单一，避免贴插件方向弄反。</t>
  </si>
  <si>
    <t>器件Assembly外框尽量不要相交（Package Geometry/Assembly Top/Bottom）</t>
  </si>
  <si>
    <t>器件位号，特殊标记、极性标示以及pin1标示不可被其他器件或丝印覆盖。</t>
  </si>
  <si>
    <t>器件摆放不可超出结构图中的限制高度</t>
  </si>
  <si>
    <t>相同结构的电路，尽量采用相同或相似的布局。</t>
  </si>
  <si>
    <t>同一模块电路的器件，尽量集中放置。</t>
  </si>
  <si>
    <t>BGA器件避免放置在PCB外型凸出部分，此凸出部分容易出现自然形变</t>
  </si>
  <si>
    <t>较大的IC、较重的器件、插件器件、晶振要集中放在同一面。避免双面回流焊时掉落。</t>
  </si>
  <si>
    <r>
      <rPr>
        <sz val="12"/>
        <rFont val="微软雅黑"/>
        <charset val="134"/>
      </rPr>
      <t>晶振尽量要和芯片放同一面，</t>
    </r>
    <r>
      <rPr>
        <b/>
        <sz val="12"/>
        <rFont val="微软雅黑"/>
        <charset val="134"/>
      </rPr>
      <t>距离板边≥5mm；极限情况不能小于2mm。</t>
    </r>
  </si>
  <si>
    <t>保护器件（如TVS、ESD）尽量靠近接口，位置和接口位置尽量在同一面，距离尽量≤80mil。SOC布局位置不能太靠近USB，耳机座，TF卡座等接口，建议10mm以上。</t>
  </si>
  <si>
    <r>
      <rPr>
        <sz val="12"/>
        <rFont val="微软雅黑"/>
        <charset val="134"/>
      </rPr>
      <t>Bypass电容靠近负载电源PIN放置。</t>
    </r>
    <r>
      <rPr>
        <b/>
        <sz val="12"/>
        <rFont val="微软雅黑"/>
        <charset val="134"/>
      </rPr>
      <t>所有滤波电容，严格按照原理图靠近相应的pin脚放置。</t>
    </r>
  </si>
  <si>
    <t>DCDC的多个滤波电容，请按照容值大小，由小到大，由近及远，依次靠近SOC端放置。</t>
  </si>
  <si>
    <t>DC-DC的输入输出电路布局小型化，尽量将电源回路实现到最小。</t>
  </si>
  <si>
    <t>WIFI电路布局需单独屏蔽，远离DDR，大电源，LCD，speaker，camera等干扰源。</t>
  </si>
  <si>
    <t>WIFI天线馈线的π型电路布局合理，使馈线平滑，最短；无stub，无过孔，少拐角。</t>
  </si>
  <si>
    <t>EMMC/NAND靠近SOC摆放，EMMC-CLK源端串接33R电阻靠近SOC摆放。</t>
  </si>
  <si>
    <t>camera电路中的MCLK源端串接33R电阻靠近SOC摆放。</t>
  </si>
  <si>
    <t>SDIO-CLK的源端串接33R电阻靠近SOC摆放。</t>
  </si>
  <si>
    <t>COMPASS布局应远离磁干扰（软铁材料和大电流走线），如SD卡座，射频屏蔽罩，SIM卡座，摄像头模组，喇叭，马达，螺丝孔等。</t>
  </si>
  <si>
    <t>霍尔开关尽量远离磁性器件。</t>
  </si>
  <si>
    <t>若camera连接器与背光驱动芯片等强干扰源位于PCB的同一面，则两者距离要大于10mm。</t>
  </si>
  <si>
    <t>外接插座的间距、方向，需要考虑插头的实际大小及插接方便。</t>
  </si>
  <si>
    <t>母板与子板配套的PCB板，确认连接器的方向，信号排列，位置及丝印标识相吻合，确认安装孔、定位孔位置、尺寸相吻合。</t>
  </si>
  <si>
    <t>贴片器件距离板边尽量不要不小于1mm。</t>
  </si>
  <si>
    <t>安装孔周围1mm不能放置器件</t>
  </si>
  <si>
    <t>需要手工焊接的Pad，如喇叭、电池Pad，两相邻Pad边缘间距1mm以上，距离其他器件或Pad 2mm以上。</t>
  </si>
  <si>
    <t>片式器件、SOT器件之间，元件体间隙≥0.3mm（若Pad超出实体，需以Pad测量）</t>
  </si>
  <si>
    <t>BGA之间，BGA与其他元件之间，元件体间隙≥0.3mm（若Pad超出实体，需以Pad测量）</t>
  </si>
  <si>
    <t>QFN、QFP、SOP器件之间，元件体间隙≥0.4mm（若Pad超出实体，需以Pad测量）</t>
  </si>
  <si>
    <t>屏蔽罩之间、屏蔽罩与其他器件之间，元件体间隙≥0.6mm（若Pad超出实体，需以Pad测量）</t>
  </si>
  <si>
    <t>在PCB的对角上，放置3个基准点，基准点X轴、Y轴不能对称。离PCB边缘≥4mm。防止被贴片机导轨遮挡。</t>
  </si>
  <si>
    <t>光学定位基准符号必须赋予坐标值（当作元件设计），基准点需要加入原理图中，不允许在 PCB 设计完后以一个符号的形式加上去。</t>
  </si>
  <si>
    <t>阻抗</t>
  </si>
  <si>
    <t>根据叠层结构，阻抗线的线宽线距设置正确。</t>
  </si>
  <si>
    <t>wifi射频线控制阻抗50ohm+/-10%；若隔层参考，相邻层必须掏空，参考平面完整无分割；射频走线短且平滑，不允许换层，走线周围多打地孔，表层地shape与射频线保持至少1W距离。</t>
  </si>
  <si>
    <t>DDR信号优先采用全志模板，在条件限制下，若自行设计模板，需控制以下阻抗线：DQ/DM，ADD/CMD/CTRL信号控制单端阻抗50ohm+/-10%；DQS/CLK差分信号控制差分阻抗100ohm+/-10%。</t>
  </si>
  <si>
    <t>USB  DP/DM控制差分90ohm+/-10%，走线包地，参考平面完整，尽量少换层，且换层过孔处需添加同等数量的地孔。</t>
  </si>
  <si>
    <t>MIPI走线控制差分100ohm+/-10%，尽量少换层，路径长度≤3000mil</t>
  </si>
  <si>
    <t>EMMC/NAND信号走线控制阻抗50ohm+/-10%</t>
  </si>
  <si>
    <t>LVDS信号控制差分阻抗100ohm+/-10%</t>
  </si>
  <si>
    <t>SDIO 3.0信号走线控制阻抗50ohm+/-10%</t>
  </si>
  <si>
    <t>线宽间距</t>
  </si>
  <si>
    <t>线宽尽量≥4mil。极限线宽≥3mil。只在Fan out和芯片出pin处才能以极限线宽出线。</t>
  </si>
  <si>
    <t>各路DC-DC电源，VBUS、DC-IN、PS、VBAT等大电源走线需尽量加宽，不得小于Imax所对应的宽度</t>
  </si>
  <si>
    <r>
      <rPr>
        <sz val="12"/>
        <rFont val="微软雅黑"/>
        <charset val="134"/>
      </rPr>
      <t>信号走线的各段线宽保持一致（</t>
    </r>
    <r>
      <rPr>
        <b/>
        <sz val="12"/>
        <rFont val="微软雅黑"/>
        <charset val="134"/>
      </rPr>
      <t>0.5pitch 以下BGA区域可适当减窄</t>
    </r>
    <r>
      <rPr>
        <sz val="12"/>
        <rFont val="微软雅黑"/>
        <charset val="134"/>
      </rPr>
      <t>）。</t>
    </r>
  </si>
  <si>
    <r>
      <rPr>
        <sz val="12"/>
        <rFont val="微软雅黑"/>
        <charset val="134"/>
      </rPr>
      <t>线间距尽量≥2W，极限间距≥3mil。只在Fan out和芯片出pin处才能以极限间距出线。(</t>
    </r>
    <r>
      <rPr>
        <b/>
        <sz val="12"/>
        <rFont val="微软雅黑"/>
        <charset val="134"/>
      </rPr>
      <t>LPDRR4信号在非BGA区域必须保证2W或以上间距</t>
    </r>
    <r>
      <rPr>
        <sz val="12"/>
        <rFont val="微软雅黑"/>
        <charset val="134"/>
      </rPr>
      <t>）。</t>
    </r>
  </si>
  <si>
    <t>相邻层走线保持垂直、斜交。无法避免重叠时，并行重叠距离≤200mil。</t>
  </si>
  <si>
    <t>走线距离NPTH孔10mil。</t>
  </si>
  <si>
    <t>走线、过孔、覆铜离板边缘≥10mil。即不能超出Route Keepin。</t>
  </si>
  <si>
    <t>Pad之间、Pad与走线之间≥4mil</t>
  </si>
  <si>
    <t>走线</t>
  </si>
  <si>
    <t>同一组Bus线要走在一起</t>
  </si>
  <si>
    <t>走线不能有直角，锐角</t>
  </si>
  <si>
    <t>走线的残留分支必须清除干净。</t>
  </si>
  <si>
    <t>复位、时钟、中断、高速、模拟信号远离板边，包地或者尽量保持线间距≥3W，少打Via、走线短、内层走线，换层处增加GND Via，优先参考GND层。</t>
  </si>
  <si>
    <t>数字信号和模拟信号要尽量远离；如有跨分割，数字信号和模拟信号不能相互跨分割</t>
  </si>
  <si>
    <t>VRA1、VRA2、AGND的接地点汇总成一点，必须通过0R电阻到大地。VRA1、VAR2为内部模拟参考电平，做好保护，远离干扰源。</t>
  </si>
  <si>
    <t>晶振底下所有层不允许有其他走线、零件，并铺GND（空间不足时仅相邻层，但大干扰源和敏感信号禁止穿过下方）</t>
  </si>
  <si>
    <r>
      <rPr>
        <sz val="12"/>
        <rFont val="微软雅黑"/>
        <charset val="134"/>
      </rPr>
      <t>功率电感底下所有层不允许有其他走线、零件，并铺GND（空间不足时仅相邻层，但大干扰源和敏感信号禁止穿过下方），</t>
    </r>
    <r>
      <rPr>
        <b/>
        <sz val="12"/>
        <rFont val="微软雅黑"/>
        <charset val="134"/>
      </rPr>
      <t>同时功率电感封装表层焊盘中间需净空，禁止铺铜。</t>
    </r>
  </si>
  <si>
    <t>重要IC(Codec/PMU等)底下所有层不允许有其他走线、，并铺GND（空间不足时仅相邻层，但大干扰源和敏感信号禁止穿过下方）</t>
  </si>
  <si>
    <t>WiFi芯片e-pad下方禁止SDIO走线穿过（空间不足时，需至少隔两层以上地平面）。</t>
  </si>
  <si>
    <t>器件相邻两个Pad为同一网络需要接到一起时，要从脚尖或脚跟拉出再连接，不要从脚边连接。</t>
  </si>
  <si>
    <t>走线应该从Pad中心或过孔中心引出</t>
  </si>
  <si>
    <t>pitch较小的封装，如QFN、连接器、FPC座子等，走线宽度尽量不要超过Pad宽度。</t>
  </si>
  <si>
    <r>
      <rPr>
        <sz val="12"/>
        <rFont val="微软雅黑"/>
        <charset val="134"/>
      </rPr>
      <t>片式器件，尤其是0201/0402/0603，两个Pad的两端走线对称、宽度一致。防止贴片移位</t>
    </r>
    <r>
      <rPr>
        <b/>
        <sz val="12"/>
        <rFont val="微软雅黑"/>
        <charset val="134"/>
      </rPr>
      <t>。</t>
    </r>
  </si>
  <si>
    <t>所有电源走线，必须严格按照原理图标识电流大小走线，走线宽度通常按照40mil（1OZ铜厚），过流1A能力作比例推算。</t>
  </si>
  <si>
    <t>ESD</t>
  </si>
  <si>
    <t>走线要先经过ESD器件，再往PCB内部走。ESD连线尽量短，且不能换层。ESD接地端连线尽量短而粗，并就近多打孔到主GND层，保证每个ESD器件两个以上地孔。</t>
  </si>
  <si>
    <t>屏蔽罩</t>
  </si>
  <si>
    <t>屏蔽罩的轨迹尽量设计成规则的正方形、矩形等。阻焊、钢网开窗使用一截一截断开式设计，可以增加锡膏量，减少偏移，降低炉后虚焊不良。</t>
  </si>
  <si>
    <t>屏蔽罩轨迹上尽量多打地孔。在屏蔽罩轨迹上面打Via的时候，Via钻孔不能打在soldermask的边缘。</t>
  </si>
  <si>
    <t>屏蔽框设计合理，避免使用超大或超小屏蔽框，屏蔽罩面积尽量不大于75mm*75mm，不小于8mm*8mm。</t>
  </si>
  <si>
    <t>空旷的区域添加GND覆铜并适量打GND Via，过孔间距≤200mil。</t>
  </si>
  <si>
    <t>覆铜</t>
  </si>
  <si>
    <r>
      <rPr>
        <sz val="12"/>
        <rFont val="微软雅黑"/>
        <charset val="134"/>
      </rPr>
      <t>覆铜与覆铜间距离≥10mil（</t>
    </r>
    <r>
      <rPr>
        <b/>
        <sz val="12"/>
        <rFont val="微软雅黑"/>
        <charset val="134"/>
      </rPr>
      <t>空间限制时，间距≥4mil</t>
    </r>
    <r>
      <rPr>
        <sz val="12"/>
        <rFont val="微软雅黑"/>
        <charset val="134"/>
      </rPr>
      <t>）。</t>
    </r>
  </si>
  <si>
    <t>板边缘的电源覆铜，比GND覆铜内缩≥10mil。</t>
  </si>
  <si>
    <t>电源、GND覆铜完整。不能被过孔或DIP打碎，存在瓶颈。</t>
  </si>
  <si>
    <t>高速信号参考平面不能被分割。</t>
  </si>
  <si>
    <t>覆铜平面方正，不能有尖角。不能有0/45/90度或圆弧状以外的边缘。</t>
  </si>
  <si>
    <r>
      <rPr>
        <sz val="12"/>
        <rFont val="微软雅黑"/>
        <charset val="134"/>
      </rPr>
      <t>细长铜皮末端增加地孔，若无法增加地孔，需将</t>
    </r>
    <r>
      <rPr>
        <b/>
        <sz val="12"/>
        <rFont val="微软雅黑"/>
        <charset val="134"/>
      </rPr>
      <t>尖端铜皮删除</t>
    </r>
    <r>
      <rPr>
        <sz val="12"/>
        <rFont val="微软雅黑"/>
        <charset val="134"/>
      </rPr>
      <t>，避免天线效应。</t>
    </r>
  </si>
  <si>
    <t>非GND覆铜/Cline/Via 不可在裸铜区域（阻焊开窗区域）。</t>
  </si>
  <si>
    <t>不允许有孤铜。</t>
  </si>
  <si>
    <t>Dip脚、0603及以下的片式器件连接到大铜面一般做十字形连接，不要用全连接。</t>
  </si>
  <si>
    <t>BGA BAll必需十字形连接，禁止大面积铺铜全连接。防止散热过快而虚焊。</t>
  </si>
  <si>
    <t>如果零件散热PAD上要打Via，需打井字打法，Via不能打到SoldMask边界处。</t>
  </si>
  <si>
    <t>过孔</t>
  </si>
  <si>
    <t>高速信号打Via换层处，需在旁边加GND Via。</t>
  </si>
  <si>
    <t>板边一圈尽可能铺GND并打GND Via，Via间距≤200mil。</t>
  </si>
  <si>
    <t>过孔需距离Pad 4mil以上（包括同网络过孔）</t>
  </si>
  <si>
    <t>孔壁到其它铜距离≥7mil。</t>
  </si>
  <si>
    <t>NPTH孔壁到孔壁距离≥8mil。</t>
  </si>
  <si>
    <t>结构上的过孔，需与结构工程师确认是否能在结构上接地。若能接地，过孔需采用PTH过孔，焊盘需阻焊开窗；若不能接地，采用NPTH孔，不要阻焊开窗。</t>
  </si>
  <si>
    <t>如果过孔需要做在Pad上，则过孔孔盘不能露出Pad，且要求板厂做树脂塞孔处理。</t>
  </si>
  <si>
    <t>信号网络的残留过孔必须清除干净。</t>
  </si>
  <si>
    <r>
      <rPr>
        <sz val="12"/>
        <rFont val="微软雅黑"/>
        <charset val="134"/>
      </rPr>
      <t>信号过孔密集区域，多打一些GND过孔，</t>
    </r>
    <r>
      <rPr>
        <b/>
        <sz val="12"/>
        <rFont val="微软雅黑"/>
        <charset val="134"/>
      </rPr>
      <t>但同时注意不要破坏回流平面</t>
    </r>
    <r>
      <rPr>
        <sz val="12"/>
        <rFont val="微软雅黑"/>
        <charset val="134"/>
      </rPr>
      <t>。</t>
    </r>
  </si>
  <si>
    <t>外接插座附近区域，多打一些GND过孔。</t>
  </si>
  <si>
    <t>过孔通常需要阻焊覆盖</t>
  </si>
  <si>
    <t>BGA Fanout过孔在BGA Pad对角线中心。排列规则。要留电源通道，并防止过孔截断POWER/GND平面。</t>
  </si>
  <si>
    <t>蛇行线边缘间距≥3倍线宽，并行部分的长度尽量≤200mil。</t>
  </si>
  <si>
    <t>等长</t>
  </si>
  <si>
    <t>检查等长线是否有跨相邻层分割或者与相邻层平行走线导致串扰严重</t>
  </si>
  <si>
    <t>等长完成后，Constraint Manager及等长报告必须全部通过</t>
  </si>
  <si>
    <t>测试点</t>
  </si>
  <si>
    <t>时钟、复位信号、以太网、高速信号上测试点分支尽量短，测试点优先加在走线上。</t>
  </si>
  <si>
    <t>天线传输线需尽量短，平顺，拐角处需走弧度线。根据实际叠层结构计算阻抗，确定是否需要隔层参考。若隔层参考，注意相邻层须挖空。</t>
  </si>
  <si>
    <t>天线</t>
  </si>
  <si>
    <t>天线区域根据天线需要，确定是否需要挖空所有层，区域周围所有层尽可能铺GND并多打Via</t>
  </si>
  <si>
    <t>所有的位号必須放在板內，且距离板边8mils以上，距离V-cut 20mils以上。</t>
  </si>
  <si>
    <t>放置PCB编号封装，不与其他字符重叠。让板厂有空间印刷PCB编号。</t>
  </si>
  <si>
    <t>PCB名称丝印字符必须与PCB、原理图文档名称一致。</t>
  </si>
  <si>
    <t>单个丝印位号字符方向：top面左-&gt;右和下-&gt;上，bot面右-&gt;左和下-&gt;上。</t>
  </si>
  <si>
    <t>丝印字符排列整齐。</t>
  </si>
  <si>
    <t>丝印字符不可与Silkscreen/Soldermask/Pad/Drill Hole重叠</t>
  </si>
  <si>
    <t>阻焊颜色无特殊要求的采用绿色。</t>
  </si>
  <si>
    <t>字符颜色无特殊要求的采用白色。</t>
  </si>
  <si>
    <t>在 BOT面添加的丝印文字和Logo，需要mirror，以保证实际生产时候是正常的</t>
  </si>
  <si>
    <t>On-Line DRC必须勾选上，DRC errors状态必须为Up To Date</t>
  </si>
  <si>
    <t>清除DRC。不能清除的确认可接受后将其waive。</t>
  </si>
  <si>
    <t>不存在unplaced symbol</t>
  </si>
  <si>
    <t>不存在unrouted nets和unrouted connections。</t>
  </si>
  <si>
    <t>不存在Isolated、Unassign、Out of data shape。</t>
  </si>
  <si>
    <t>板内不可有重复线/无用线/直角走线/残桩/无用孔</t>
  </si>
  <si>
    <t>零件的Place Bound框不可与低于其高度的限高区重叠</t>
  </si>
  <si>
    <t>PCB与最新原理图网表是否同步更新，完全吻合。</t>
  </si>
  <si>
    <t>是否输出结构文档，结构核对无误。</t>
  </si>
  <si>
    <t>确认原理图最新，PCB与原理图netlist核对一致。</t>
  </si>
  <si>
    <r>
      <rPr>
        <b/>
        <sz val="12"/>
        <rFont val="微软雅黑"/>
        <charset val="134"/>
      </rPr>
      <t>钢网</t>
    </r>
    <r>
      <rPr>
        <sz val="12"/>
        <rFont val="微软雅黑"/>
        <charset val="134"/>
      </rPr>
      <t>开窗是否正常，SMD PAD都有开窗，开窗大小正常，非SMD PAD和DIP不需要钢网开窗。</t>
    </r>
  </si>
  <si>
    <r>
      <rPr>
        <b/>
        <sz val="12"/>
        <rFont val="微软雅黑"/>
        <charset val="134"/>
      </rPr>
      <t>阻焊</t>
    </r>
    <r>
      <rPr>
        <sz val="12"/>
        <rFont val="微软雅黑"/>
        <charset val="134"/>
      </rPr>
      <t>开窗是否正常，所有PAD和DIP都需要开窗，开窗不能覆盖到非GND的走线、过孔、覆铜。</t>
    </r>
  </si>
  <si>
    <t>所有零件必须使用最新零件库，确认使用最新封装。</t>
  </si>
  <si>
    <t>manufacturing photoplot outline 必须包含所有需要产生Gerber的元素。outline以外元素会被忽略。</t>
  </si>
  <si>
    <t>Artwork parameters和NC parameters设置是否正确。</t>
  </si>
  <si>
    <t>每层Gerber包含的子层设置是否正确。</t>
  </si>
  <si>
    <t>生成的Gerber文件数量是否正确，Gerber是否最新。</t>
  </si>
  <si>
    <t>Drill Legend和NC Drill是否最新。（PTH/NPTH/VIA有改动过的，必须重新生成）</t>
  </si>
  <si>
    <t>输出光绘文件的log 文件中是否有异常报告</t>
  </si>
  <si>
    <t>使用 CAM350检查光绘文件是否与PCB 相符</t>
  </si>
  <si>
    <t>加工工艺要求说明书是否正确填写，阻抗控制描述是否准确。叠层要求中的层名与其光绘文件名是否一致 。</t>
  </si>
  <si>
    <t>发板GERBER资料包中的工艺生产文件必须包含以下信息：务必要求板厂在调整DDR信号线阻抗时，不能减小信号线间距；同时在EQ工程确认单时做好管控。若为了阻抗控制，确实需要增大线宽，请反馈我司FAE评估确认。</t>
  </si>
  <si>
    <t>SMT钢网、坐标文件是否正确，SMT管脚数量是否统计。</t>
  </si>
</sst>
</file>

<file path=xl/styles.xml><?xml version="1.0" encoding="utf-8"?>
<styleSheet xmlns="http://schemas.openxmlformats.org/spreadsheetml/2006/main">
  <numFmts count="7">
    <numFmt numFmtId="176" formatCode="mmmm\ d\,\ yyyy"/>
    <numFmt numFmtId="177" formatCode="mm/dd/yy"/>
    <numFmt numFmtId="41" formatCode="_ * #,##0_ ;_ * \-#,##0_ ;_ * &quot;-&quot;_ ;_ @_ "/>
    <numFmt numFmtId="44" formatCode="_ &quot;￥&quot;* #,##0.00_ ;_ &quot;￥&quot;* \-#,##0.00_ ;_ &quot;￥&quot;* &quot;-&quot;??_ ;_ @_ "/>
    <numFmt numFmtId="43" formatCode="_ * #,##0.00_ ;_ * \-#,##0.00_ ;_ * &quot;-&quot;??_ ;_ @_ "/>
    <numFmt numFmtId="178" formatCode="[$-409]mmmm\ d\,\ yyyy;@"/>
    <numFmt numFmtId="42" formatCode="_ &quot;￥&quot;* #,##0_ ;_ &quot;￥&quot;* \-#,##0_ ;_ &quot;￥&quot;* &quot;-&quot;_ ;_ @_ "/>
  </numFmts>
  <fonts count="53">
    <font>
      <sz val="11"/>
      <color indexed="8"/>
      <name val="宋体"/>
      <charset val="134"/>
    </font>
    <font>
      <b/>
      <sz val="14"/>
      <name val="微软雅黑"/>
      <charset val="134"/>
    </font>
    <font>
      <sz val="12"/>
      <name val="微软雅黑"/>
      <charset val="134"/>
    </font>
    <font>
      <b/>
      <sz val="12"/>
      <name val="微软雅黑"/>
      <charset val="134"/>
    </font>
    <font>
      <sz val="14"/>
      <name val="微软雅黑"/>
      <charset val="134"/>
    </font>
    <font>
      <sz val="12"/>
      <name val="Arial Unicode MS"/>
      <charset val="134"/>
    </font>
    <font>
      <b/>
      <sz val="22"/>
      <name val="微软雅黑"/>
      <charset val="134"/>
    </font>
    <font>
      <b/>
      <sz val="18"/>
      <name val="微软雅黑"/>
      <charset val="134"/>
    </font>
    <font>
      <sz val="18"/>
      <name val="宋体"/>
      <charset val="134"/>
    </font>
    <font>
      <sz val="18"/>
      <name val="新細明體"/>
      <charset val="134"/>
    </font>
    <font>
      <sz val="28"/>
      <name val="新細明體"/>
      <charset val="134"/>
    </font>
    <font>
      <sz val="14"/>
      <name val="新細明體"/>
      <charset val="134"/>
    </font>
    <font>
      <sz val="14"/>
      <name val="宋体"/>
      <charset val="134"/>
    </font>
    <font>
      <sz val="16"/>
      <name val="宋体"/>
      <charset val="134"/>
    </font>
    <font>
      <b/>
      <sz val="16"/>
      <color indexed="10"/>
      <name val="新細明體"/>
      <charset val="134"/>
    </font>
    <font>
      <sz val="14"/>
      <color indexed="10"/>
      <name val="宋体"/>
      <charset val="134"/>
    </font>
    <font>
      <sz val="18"/>
      <color indexed="8"/>
      <name val="宋体"/>
      <charset val="134"/>
    </font>
    <font>
      <sz val="10"/>
      <name val="Arial"/>
      <charset val="134"/>
    </font>
    <font>
      <b/>
      <sz val="16"/>
      <color indexed="48"/>
      <name val="宋体"/>
      <charset val="134"/>
    </font>
    <font>
      <b/>
      <i/>
      <sz val="12"/>
      <name val="Arial"/>
      <charset val="134"/>
    </font>
    <font>
      <b/>
      <sz val="26"/>
      <name val="宋体"/>
      <charset val="134"/>
    </font>
    <font>
      <b/>
      <sz val="16"/>
      <name val="Arial"/>
      <charset val="134"/>
    </font>
    <font>
      <b/>
      <sz val="12"/>
      <name val="Arial"/>
      <charset val="134"/>
    </font>
    <font>
      <b/>
      <sz val="12"/>
      <color indexed="8"/>
      <name val="Arial"/>
      <charset val="134"/>
    </font>
    <font>
      <sz val="12"/>
      <name val="Arial"/>
      <charset val="134"/>
    </font>
    <font>
      <sz val="10"/>
      <color indexed="42"/>
      <name val="Arial"/>
      <charset val="134"/>
    </font>
    <font>
      <sz val="12"/>
      <name val="新細明體"/>
      <charset val="134"/>
    </font>
    <font>
      <sz val="11"/>
      <color theme="1"/>
      <name val="宋体"/>
      <charset val="0"/>
      <scheme val="minor"/>
    </font>
    <font>
      <b/>
      <sz val="13"/>
      <color theme="3"/>
      <name val="宋体"/>
      <charset val="134"/>
      <scheme val="minor"/>
    </font>
    <font>
      <sz val="11"/>
      <color rgb="FFFF0000"/>
      <name val="宋体"/>
      <charset val="0"/>
      <scheme val="minor"/>
    </font>
    <font>
      <sz val="12"/>
      <color theme="1"/>
      <name val="宋体"/>
      <charset val="134"/>
      <scheme val="minor"/>
    </font>
    <font>
      <sz val="11"/>
      <color theme="1"/>
      <name val="宋体"/>
      <charset val="134"/>
      <scheme val="minor"/>
    </font>
    <font>
      <sz val="11"/>
      <color theme="0"/>
      <name val="宋体"/>
      <charset val="0"/>
      <scheme val="minor"/>
    </font>
    <font>
      <b/>
      <sz val="15"/>
      <color theme="3"/>
      <name val="宋体"/>
      <charset val="134"/>
      <scheme val="minor"/>
    </font>
    <font>
      <sz val="9"/>
      <name val="宋体"/>
      <charset val="134"/>
    </font>
    <font>
      <b/>
      <sz val="11"/>
      <color theme="3"/>
      <name val="宋体"/>
      <charset val="134"/>
      <scheme val="minor"/>
    </font>
    <font>
      <b/>
      <sz val="18"/>
      <color theme="3"/>
      <name val="宋体"/>
      <charset val="134"/>
      <scheme val="minor"/>
    </font>
    <font>
      <u/>
      <sz val="11"/>
      <color rgb="FF0000FF"/>
      <name val="宋体"/>
      <charset val="0"/>
      <scheme val="minor"/>
    </font>
    <font>
      <sz val="11"/>
      <color rgb="FF9C0006"/>
      <name val="宋体"/>
      <charset val="0"/>
      <scheme val="minor"/>
    </font>
    <font>
      <b/>
      <sz val="11"/>
      <color rgb="FFFFFFFF"/>
      <name val="宋体"/>
      <charset val="0"/>
      <scheme val="minor"/>
    </font>
    <font>
      <sz val="11"/>
      <color rgb="FF9C6500"/>
      <name val="宋体"/>
      <charset val="0"/>
      <scheme val="minor"/>
    </font>
    <font>
      <sz val="11"/>
      <color rgb="FF3F3F76"/>
      <name val="宋体"/>
      <charset val="0"/>
      <scheme val="minor"/>
    </font>
    <font>
      <b/>
      <sz val="11"/>
      <color rgb="FFFA7D00"/>
      <name val="宋体"/>
      <charset val="0"/>
      <scheme val="minor"/>
    </font>
    <font>
      <sz val="12"/>
      <name val="宋体"/>
      <charset val="134"/>
    </font>
    <font>
      <sz val="11"/>
      <color rgb="FFFA7D00"/>
      <name val="宋体"/>
      <charset val="0"/>
      <scheme val="minor"/>
    </font>
    <font>
      <u/>
      <sz val="10"/>
      <color indexed="12"/>
      <name val="Arial"/>
      <charset val="134"/>
    </font>
    <font>
      <i/>
      <sz val="11"/>
      <color rgb="FF7F7F7F"/>
      <name val="宋体"/>
      <charset val="0"/>
      <scheme val="minor"/>
    </font>
    <font>
      <u/>
      <sz val="11"/>
      <color rgb="FF800080"/>
      <name val="宋体"/>
      <charset val="0"/>
      <scheme val="minor"/>
    </font>
    <font>
      <b/>
      <sz val="11"/>
      <color rgb="FF3F3F3F"/>
      <name val="宋体"/>
      <charset val="0"/>
      <scheme val="minor"/>
    </font>
    <font>
      <b/>
      <sz val="11"/>
      <color theme="1"/>
      <name val="宋体"/>
      <charset val="0"/>
      <scheme val="minor"/>
    </font>
    <font>
      <sz val="11"/>
      <color rgb="FF006100"/>
      <name val="宋体"/>
      <charset val="0"/>
      <scheme val="minor"/>
    </font>
    <font>
      <b/>
      <sz val="16"/>
      <color indexed="48"/>
      <name val="Times New Roman"/>
      <charset val="134"/>
    </font>
    <font>
      <b/>
      <sz val="14"/>
      <color indexed="48"/>
      <name val="宋体"/>
      <charset val="134"/>
    </font>
  </fonts>
  <fills count="37">
    <fill>
      <patternFill patternType="none"/>
    </fill>
    <fill>
      <patternFill patternType="gray125"/>
    </fill>
    <fill>
      <patternFill patternType="solid">
        <fgColor indexed="44"/>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theme="8" tint="0.799981688894314"/>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rgb="FFFFFFCC"/>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rgb="FFFFC7CE"/>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rgb="FFFFEB9C"/>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rgb="FFF2F2F2"/>
        <bgColor indexed="64"/>
      </patternFill>
    </fill>
    <fill>
      <patternFill patternType="solid">
        <fgColor theme="6" tint="0.799981688894314"/>
        <bgColor indexed="64"/>
      </patternFill>
    </fill>
    <fill>
      <patternFill patternType="solid">
        <fgColor theme="8"/>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6"/>
        <bgColor indexed="64"/>
      </patternFill>
    </fill>
    <fill>
      <patternFill patternType="solid">
        <fgColor theme="4"/>
        <bgColor indexed="64"/>
      </patternFill>
    </fill>
    <fill>
      <patternFill patternType="solid">
        <fgColor theme="7"/>
        <bgColor indexed="64"/>
      </patternFill>
    </fill>
    <fill>
      <patternFill patternType="solid">
        <fgColor theme="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bgColor indexed="64"/>
      </patternFill>
    </fill>
    <fill>
      <patternFill patternType="solid">
        <fgColor theme="9" tint="0.599993896298105"/>
        <bgColor indexed="64"/>
      </patternFill>
    </fill>
    <fill>
      <patternFill patternType="solid">
        <fgColor theme="7" tint="0.599993896298105"/>
        <bgColor indexed="64"/>
      </patternFill>
    </fill>
  </fills>
  <borders count="29">
    <border>
      <left/>
      <right/>
      <top/>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style="medium">
        <color auto="1"/>
      </bottom>
      <diagonal/>
    </border>
    <border>
      <left/>
      <right style="medium">
        <color auto="1"/>
      </right>
      <top style="medium">
        <color auto="1"/>
      </top>
      <bottom style="thin">
        <color auto="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63">
    <xf numFmtId="0" fontId="0" fillId="0" borderId="0">
      <alignment vertical="center"/>
    </xf>
    <xf numFmtId="42" fontId="30" fillId="0" borderId="0" applyFont="0" applyFill="0" applyBorder="0" applyAlignment="0" applyProtection="0">
      <alignment vertical="center"/>
    </xf>
    <xf numFmtId="0" fontId="27" fillId="21" borderId="0" applyNumberFormat="0" applyBorder="0" applyAlignment="0" applyProtection="0">
      <alignment vertical="center"/>
    </xf>
    <xf numFmtId="0" fontId="41" fillId="18" borderId="25" applyNumberFormat="0" applyAlignment="0" applyProtection="0">
      <alignment vertical="center"/>
    </xf>
    <xf numFmtId="44" fontId="30" fillId="0" borderId="0" applyFont="0" applyFill="0" applyBorder="0" applyAlignment="0" applyProtection="0">
      <alignment vertical="center"/>
    </xf>
    <xf numFmtId="41" fontId="30" fillId="0" borderId="0" applyFont="0" applyFill="0" applyBorder="0" applyAlignment="0" applyProtection="0">
      <alignment vertical="center"/>
    </xf>
    <xf numFmtId="0" fontId="27" fillId="15" borderId="0" applyNumberFormat="0" applyBorder="0" applyAlignment="0" applyProtection="0">
      <alignment vertical="center"/>
    </xf>
    <xf numFmtId="0" fontId="38" fillId="12" borderId="0" applyNumberFormat="0" applyBorder="0" applyAlignment="0" applyProtection="0">
      <alignment vertical="center"/>
    </xf>
    <xf numFmtId="43" fontId="30" fillId="0" borderId="0" applyFont="0" applyFill="0" applyBorder="0" applyAlignment="0" applyProtection="0">
      <alignment vertical="center"/>
    </xf>
    <xf numFmtId="0" fontId="43" fillId="0" borderId="0">
      <alignment vertical="center"/>
    </xf>
    <xf numFmtId="0" fontId="32" fillId="24" borderId="0" applyNumberFormat="0" applyBorder="0" applyAlignment="0" applyProtection="0">
      <alignment vertical="center"/>
    </xf>
    <xf numFmtId="0" fontId="37" fillId="0" borderId="0" applyNumberFormat="0" applyFill="0" applyBorder="0" applyAlignment="0" applyProtection="0">
      <alignment vertical="center"/>
    </xf>
    <xf numFmtId="9" fontId="30" fillId="0" borderId="0" applyFont="0" applyFill="0" applyBorder="0" applyAlignment="0" applyProtection="0">
      <alignment vertical="center"/>
    </xf>
    <xf numFmtId="0" fontId="47" fillId="0" borderId="0" applyNumberFormat="0" applyFill="0" applyBorder="0" applyAlignment="0" applyProtection="0">
      <alignment vertical="center"/>
    </xf>
    <xf numFmtId="0" fontId="26" fillId="0" borderId="0"/>
    <xf numFmtId="0" fontId="30" fillId="9" borderId="22" applyNumberFormat="0" applyFont="0" applyAlignment="0" applyProtection="0">
      <alignment vertical="center"/>
    </xf>
    <xf numFmtId="0" fontId="32" fillId="17" borderId="0" applyNumberFormat="0" applyBorder="0" applyAlignment="0" applyProtection="0">
      <alignment vertical="center"/>
    </xf>
    <xf numFmtId="0" fontId="35"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4" fillId="0" borderId="0">
      <alignment vertical="center"/>
    </xf>
    <xf numFmtId="0" fontId="3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33" fillId="0" borderId="21" applyNumberFormat="0" applyFill="0" applyAlignment="0" applyProtection="0">
      <alignment vertical="center"/>
    </xf>
    <xf numFmtId="0" fontId="28" fillId="0" borderId="21" applyNumberFormat="0" applyFill="0" applyAlignment="0" applyProtection="0">
      <alignment vertical="center"/>
    </xf>
    <xf numFmtId="0" fontId="32" fillId="23" borderId="0" applyNumberFormat="0" applyBorder="0" applyAlignment="0" applyProtection="0">
      <alignment vertical="center"/>
    </xf>
    <xf numFmtId="0" fontId="35" fillId="0" borderId="23" applyNumberFormat="0" applyFill="0" applyAlignment="0" applyProtection="0">
      <alignment vertical="center"/>
    </xf>
    <xf numFmtId="0" fontId="32" fillId="8" borderId="0" applyNumberFormat="0" applyBorder="0" applyAlignment="0" applyProtection="0">
      <alignment vertical="center"/>
    </xf>
    <xf numFmtId="0" fontId="48" fillId="20" borderId="27" applyNumberFormat="0" applyAlignment="0" applyProtection="0">
      <alignment vertical="center"/>
    </xf>
    <xf numFmtId="0" fontId="42" fillId="20" borderId="25" applyNumberFormat="0" applyAlignment="0" applyProtection="0">
      <alignment vertical="center"/>
    </xf>
    <xf numFmtId="0" fontId="39" fillId="14" borderId="24" applyNumberFormat="0" applyAlignment="0" applyProtection="0">
      <alignment vertical="center"/>
    </xf>
    <xf numFmtId="0" fontId="27" fillId="25" borderId="0" applyNumberFormat="0" applyBorder="0" applyAlignment="0" applyProtection="0">
      <alignment vertical="center"/>
    </xf>
    <xf numFmtId="0" fontId="32" fillId="30" borderId="0" applyNumberFormat="0" applyBorder="0" applyAlignment="0" applyProtection="0">
      <alignment vertical="center"/>
    </xf>
    <xf numFmtId="0" fontId="44" fillId="0" borderId="26" applyNumberFormat="0" applyFill="0" applyAlignment="0" applyProtection="0">
      <alignment vertical="center"/>
    </xf>
    <xf numFmtId="0" fontId="34" fillId="0" borderId="0">
      <alignment vertical="center"/>
    </xf>
    <xf numFmtId="0" fontId="49" fillId="0" borderId="28" applyNumberFormat="0" applyFill="0" applyAlignment="0" applyProtection="0">
      <alignment vertical="center"/>
    </xf>
    <xf numFmtId="0" fontId="50" fillId="33" borderId="0" applyNumberFormat="0" applyBorder="0" applyAlignment="0" applyProtection="0">
      <alignment vertical="center"/>
    </xf>
    <xf numFmtId="0" fontId="40" fillId="16" borderId="0" applyNumberFormat="0" applyBorder="0" applyAlignment="0" applyProtection="0">
      <alignment vertical="center"/>
    </xf>
    <xf numFmtId="0" fontId="27" fillId="6" borderId="0" applyNumberFormat="0" applyBorder="0" applyAlignment="0" applyProtection="0">
      <alignment vertical="center"/>
    </xf>
    <xf numFmtId="0" fontId="32" fillId="28" borderId="0" applyNumberFormat="0" applyBorder="0" applyAlignment="0" applyProtection="0">
      <alignment vertical="center"/>
    </xf>
    <xf numFmtId="0" fontId="27" fillId="19" borderId="0" applyNumberFormat="0" applyBorder="0" applyAlignment="0" applyProtection="0">
      <alignment vertical="center"/>
    </xf>
    <xf numFmtId="0" fontId="34" fillId="0" borderId="0">
      <alignment vertical="center"/>
    </xf>
    <xf numFmtId="0" fontId="27" fillId="13" borderId="0" applyNumberFormat="0" applyBorder="0" applyAlignment="0" applyProtection="0">
      <alignment vertical="center"/>
    </xf>
    <xf numFmtId="0" fontId="27" fillId="32" borderId="0" applyNumberFormat="0" applyBorder="0" applyAlignment="0" applyProtection="0">
      <alignment vertical="center"/>
    </xf>
    <xf numFmtId="0" fontId="26" fillId="0" borderId="0">
      <alignment vertical="center"/>
    </xf>
    <xf numFmtId="0" fontId="27" fillId="11" borderId="0" applyNumberFormat="0" applyBorder="0" applyAlignment="0" applyProtection="0">
      <alignment vertical="center"/>
    </xf>
    <xf numFmtId="0" fontId="32" fillId="27" borderId="0" applyNumberFormat="0" applyBorder="0" applyAlignment="0" applyProtection="0">
      <alignment vertical="center"/>
    </xf>
    <xf numFmtId="0" fontId="32" fillId="29" borderId="0" applyNumberFormat="0" applyBorder="0" applyAlignment="0" applyProtection="0">
      <alignment vertical="center"/>
    </xf>
    <xf numFmtId="0" fontId="27" fillId="31" borderId="0" applyNumberFormat="0" applyBorder="0" applyAlignment="0" applyProtection="0">
      <alignment vertical="center"/>
    </xf>
    <xf numFmtId="0" fontId="27" fillId="36" borderId="0" applyNumberFormat="0" applyBorder="0" applyAlignment="0" applyProtection="0">
      <alignment vertical="center"/>
    </xf>
    <xf numFmtId="0" fontId="32" fillId="22" borderId="0" applyNumberFormat="0" applyBorder="0" applyAlignment="0" applyProtection="0">
      <alignment vertical="center"/>
    </xf>
    <xf numFmtId="0" fontId="27" fillId="26" borderId="0" applyNumberFormat="0" applyBorder="0" applyAlignment="0" applyProtection="0">
      <alignment vertical="center"/>
    </xf>
    <xf numFmtId="0" fontId="32" fillId="10" borderId="0" applyNumberFormat="0" applyBorder="0" applyAlignment="0" applyProtection="0">
      <alignment vertical="center"/>
    </xf>
    <xf numFmtId="0" fontId="32" fillId="34" borderId="0" applyNumberFormat="0" applyBorder="0" applyAlignment="0" applyProtection="0">
      <alignment vertical="center"/>
    </xf>
    <xf numFmtId="0" fontId="26" fillId="0" borderId="0"/>
    <xf numFmtId="0" fontId="27" fillId="35" borderId="0" applyNumberFormat="0" applyBorder="0" applyAlignment="0" applyProtection="0">
      <alignment vertical="center"/>
    </xf>
    <xf numFmtId="0" fontId="32" fillId="7" borderId="0" applyNumberFormat="0" applyBorder="0" applyAlignment="0" applyProtection="0">
      <alignment vertical="center"/>
    </xf>
    <xf numFmtId="0" fontId="31" fillId="0" borderId="0"/>
    <xf numFmtId="0" fontId="26" fillId="0" borderId="0"/>
    <xf numFmtId="0" fontId="17" fillId="0" borderId="0">
      <alignment vertical="center"/>
    </xf>
    <xf numFmtId="0" fontId="34" fillId="0" borderId="0">
      <alignment vertical="center"/>
    </xf>
    <xf numFmtId="0" fontId="34" fillId="0" borderId="0">
      <alignment vertical="center"/>
    </xf>
    <xf numFmtId="0" fontId="45" fillId="0" borderId="0">
      <alignment vertical="center"/>
    </xf>
    <xf numFmtId="0" fontId="26" fillId="0" borderId="0"/>
  </cellStyleXfs>
  <cellXfs count="111">
    <xf numFmtId="0" fontId="0" fillId="0" borderId="0" xfId="0" applyAlignment="1"/>
    <xf numFmtId="0" fontId="0" fillId="0" borderId="0" xfId="0" applyAlignment="1">
      <alignment wrapText="1"/>
    </xf>
    <xf numFmtId="0" fontId="1" fillId="2" borderId="1" xfId="0" applyFont="1" applyFill="1" applyBorder="1" applyAlignment="1">
      <alignment horizontal="center" vertical="center" wrapText="1"/>
    </xf>
    <xf numFmtId="0" fontId="1" fillId="2" borderId="1" xfId="0" applyNumberFormat="1" applyFont="1" applyFill="1" applyBorder="1" applyAlignment="1">
      <alignment horizontal="center" vertical="center"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1" fillId="2" borderId="4" xfId="0" applyFont="1" applyFill="1" applyBorder="1" applyAlignment="1">
      <alignment horizontal="center" vertical="center" wrapText="1"/>
    </xf>
    <xf numFmtId="0" fontId="1" fillId="2" borderId="4" xfId="0" applyNumberFormat="1" applyFont="1" applyFill="1" applyBorder="1" applyAlignment="1">
      <alignment horizontal="center" vertical="center" wrapText="1"/>
    </xf>
    <xf numFmtId="0" fontId="1" fillId="2" borderId="1" xfId="9" applyFont="1" applyFill="1" applyBorder="1" applyAlignment="1">
      <alignment horizontal="center" vertical="center" wrapText="1"/>
    </xf>
    <xf numFmtId="0" fontId="2" fillId="0" borderId="5" xfId="0" applyFont="1" applyFill="1" applyBorder="1" applyAlignment="1">
      <alignment horizontal="center" wrapText="1"/>
    </xf>
    <xf numFmtId="49" fontId="2" fillId="0" borderId="5" xfId="0" applyNumberFormat="1" applyFont="1" applyFill="1" applyBorder="1" applyAlignment="1">
      <alignment horizontal="left" vertical="center" wrapText="1"/>
    </xf>
    <xf numFmtId="0" fontId="2" fillId="0" borderId="5" xfId="0" applyFont="1" applyFill="1" applyBorder="1" applyAlignment="1">
      <alignment wrapText="1"/>
    </xf>
    <xf numFmtId="0" fontId="3" fillId="0" borderId="5" xfId="0" applyFont="1" applyFill="1" applyBorder="1" applyAlignment="1">
      <alignment vertical="center" wrapText="1"/>
    </xf>
    <xf numFmtId="0" fontId="2" fillId="0" borderId="5" xfId="33" applyFont="1" applyBorder="1" applyAlignment="1">
      <alignment horizontal="justify" vertical="center" wrapText="1"/>
    </xf>
    <xf numFmtId="0" fontId="2" fillId="0" borderId="5" xfId="19" applyFont="1" applyBorder="1" applyAlignment="1">
      <alignment horizontal="justify" vertical="center" wrapText="1"/>
    </xf>
    <xf numFmtId="0" fontId="3" fillId="0" borderId="5" xfId="33" applyFont="1" applyBorder="1" applyAlignment="1">
      <alignment horizontal="justify" vertical="center" wrapText="1"/>
    </xf>
    <xf numFmtId="0" fontId="1" fillId="0" borderId="0" xfId="0" applyFont="1" applyBorder="1" applyAlignment="1">
      <alignment horizontal="center" wrapText="1"/>
    </xf>
    <xf numFmtId="0" fontId="4" fillId="0" borderId="0" xfId="0" applyNumberFormat="1" applyFont="1" applyBorder="1" applyAlignment="1">
      <alignment wrapText="1"/>
    </xf>
    <xf numFmtId="0" fontId="4" fillId="0" borderId="0" xfId="0" applyFont="1" applyBorder="1" applyAlignment="1">
      <alignment wrapText="1"/>
    </xf>
    <xf numFmtId="0" fontId="4" fillId="0" borderId="0" xfId="0" applyFont="1" applyBorder="1" applyAlignment="1">
      <alignment horizontal="center" wrapText="1"/>
    </xf>
    <xf numFmtId="0" fontId="2" fillId="0" borderId="5" xfId="62" applyFont="1" applyFill="1" applyBorder="1" applyAlignment="1">
      <alignment vertical="center" wrapText="1" shrinkToFit="1"/>
    </xf>
    <xf numFmtId="0" fontId="2" fillId="0" borderId="5" xfId="40" applyFont="1" applyBorder="1" applyAlignment="1">
      <alignment horizontal="justify" vertical="top" wrapText="1"/>
    </xf>
    <xf numFmtId="0" fontId="2" fillId="0" borderId="5" xfId="57" applyFont="1" applyFill="1" applyBorder="1" applyAlignment="1">
      <alignment vertical="center" wrapText="1"/>
    </xf>
    <xf numFmtId="0" fontId="2" fillId="0" borderId="5" xfId="59" applyFont="1" applyBorder="1" applyAlignment="1">
      <alignment horizontal="justify" vertical="top" wrapText="1"/>
    </xf>
    <xf numFmtId="0" fontId="2" fillId="0" borderId="5" xfId="0" applyNumberFormat="1" applyFont="1" applyFill="1" applyBorder="1" applyAlignment="1">
      <alignment horizontal="center" vertical="center" wrapText="1"/>
    </xf>
    <xf numFmtId="0" fontId="2" fillId="0" borderId="5" xfId="43" applyNumberFormat="1" applyFont="1" applyFill="1" applyBorder="1" applyAlignment="1">
      <alignment horizontal="center" vertical="center" wrapText="1" shrinkToFit="1"/>
    </xf>
    <xf numFmtId="0" fontId="2" fillId="0" borderId="5" xfId="43" applyNumberFormat="1" applyFont="1" applyFill="1" applyBorder="1" applyAlignment="1">
      <alignment horizontal="left" vertical="center" wrapText="1" shrinkToFit="1"/>
    </xf>
    <xf numFmtId="0" fontId="2" fillId="0" borderId="5" xfId="0" applyNumberFormat="1" applyFont="1" applyFill="1" applyBorder="1" applyAlignment="1">
      <alignment wrapText="1"/>
    </xf>
    <xf numFmtId="0" fontId="5" fillId="0" borderId="5" xfId="0" applyNumberFormat="1" applyFont="1" applyFill="1" applyBorder="1" applyAlignment="1">
      <alignment wrapText="1"/>
    </xf>
    <xf numFmtId="0" fontId="2" fillId="0" borderId="6" xfId="43" applyNumberFormat="1" applyFont="1" applyFill="1" applyBorder="1" applyAlignment="1">
      <alignment horizontal="center" vertical="center" wrapText="1" shrinkToFit="1"/>
    </xf>
    <xf numFmtId="0" fontId="2" fillId="0" borderId="7" xfId="43" applyNumberFormat="1" applyFont="1" applyFill="1" applyBorder="1" applyAlignment="1">
      <alignment horizontal="center" vertical="center" wrapText="1" shrinkToFit="1"/>
    </xf>
    <xf numFmtId="0" fontId="3" fillId="0" borderId="5" xfId="43" applyNumberFormat="1" applyFont="1" applyFill="1" applyBorder="1" applyAlignment="1">
      <alignment horizontal="left" vertical="center" wrapText="1" shrinkToFit="1"/>
    </xf>
    <xf numFmtId="0" fontId="2" fillId="0" borderId="8" xfId="43" applyNumberFormat="1" applyFont="1" applyFill="1" applyBorder="1" applyAlignment="1">
      <alignment horizontal="center" vertical="center" wrapText="1" shrinkToFit="1"/>
    </xf>
    <xf numFmtId="0" fontId="2" fillId="0" borderId="5" xfId="0" applyNumberFormat="1" applyFont="1" applyFill="1" applyBorder="1" applyAlignment="1">
      <alignment vertical="center" wrapText="1"/>
    </xf>
    <xf numFmtId="0" fontId="2" fillId="0" borderId="5" xfId="53" applyNumberFormat="1" applyFont="1" applyBorder="1" applyAlignment="1">
      <alignment horizontal="left" vertical="center" wrapText="1" shrinkToFit="1"/>
    </xf>
    <xf numFmtId="0" fontId="1" fillId="2" borderId="9" xfId="0" applyFont="1" applyFill="1" applyBorder="1" applyAlignment="1">
      <alignment horizontal="center" vertical="center" wrapText="1"/>
    </xf>
    <xf numFmtId="0" fontId="1" fillId="2" borderId="9" xfId="0" applyNumberFormat="1" applyFont="1" applyFill="1" applyBorder="1" applyAlignment="1">
      <alignment horizontal="center" vertical="center" wrapText="1"/>
    </xf>
    <xf numFmtId="0" fontId="1" fillId="2" borderId="10" xfId="9" applyFont="1" applyFill="1" applyBorder="1" applyAlignment="1">
      <alignment horizontal="center" vertical="center" wrapText="1"/>
    </xf>
    <xf numFmtId="0" fontId="4" fillId="0" borderId="5" xfId="0" applyNumberFormat="1" applyFont="1" applyFill="1" applyBorder="1" applyAlignment="1">
      <alignment horizontal="center" wrapText="1"/>
    </xf>
    <xf numFmtId="0" fontId="4" fillId="0" borderId="5" xfId="0" applyNumberFormat="1" applyFont="1" applyFill="1" applyBorder="1" applyAlignment="1">
      <alignment wrapText="1"/>
    </xf>
    <xf numFmtId="0" fontId="4" fillId="0" borderId="5" xfId="0" applyNumberFormat="1" applyFont="1" applyFill="1" applyBorder="1" applyAlignment="1">
      <alignment horizontal="center" vertical="center" wrapText="1"/>
    </xf>
    <xf numFmtId="0" fontId="2" fillId="0" borderId="5" xfId="14" applyNumberFormat="1" applyFont="1" applyBorder="1" applyAlignment="1">
      <alignment vertical="center" wrapText="1" shrinkToFit="1"/>
    </xf>
    <xf numFmtId="0" fontId="3" fillId="0" borderId="5" xfId="0" applyNumberFormat="1" applyFont="1" applyBorder="1" applyAlignment="1">
      <alignment horizontal="center" vertical="center" wrapText="1"/>
    </xf>
    <xf numFmtId="0" fontId="2" fillId="0" borderId="5" xfId="0" applyNumberFormat="1" applyFont="1" applyBorder="1" applyAlignment="1">
      <alignment horizontal="center" vertical="center" wrapText="1"/>
    </xf>
    <xf numFmtId="0" fontId="2" fillId="0" borderId="5" xfId="43" applyNumberFormat="1" applyFont="1" applyBorder="1" applyAlignment="1">
      <alignment vertical="center" wrapText="1" shrinkToFit="1"/>
    </xf>
    <xf numFmtId="0" fontId="2" fillId="0" borderId="5" xfId="0" applyNumberFormat="1" applyFont="1" applyBorder="1" applyAlignment="1">
      <alignment vertical="center" wrapText="1"/>
    </xf>
    <xf numFmtId="0" fontId="6" fillId="0" borderId="2" xfId="0" applyNumberFormat="1" applyFont="1" applyFill="1" applyBorder="1" applyAlignment="1">
      <alignment horizontal="center" vertical="center"/>
    </xf>
    <xf numFmtId="0" fontId="6" fillId="0" borderId="11" xfId="0" applyNumberFormat="1" applyFont="1" applyFill="1" applyBorder="1" applyAlignment="1">
      <alignment horizontal="center" vertical="center"/>
    </xf>
    <xf numFmtId="0" fontId="7" fillId="0" borderId="12" xfId="0" applyNumberFormat="1" applyFont="1" applyFill="1" applyBorder="1" applyAlignment="1">
      <alignment horizontal="center" vertical="center"/>
    </xf>
    <xf numFmtId="0" fontId="7" fillId="0" borderId="13" xfId="0" applyNumberFormat="1" applyFont="1" applyFill="1" applyBorder="1" applyAlignment="1">
      <alignment horizontal="center" vertical="center"/>
    </xf>
    <xf numFmtId="0" fontId="8" fillId="0" borderId="12" xfId="0" applyNumberFormat="1" applyFont="1" applyFill="1" applyBorder="1" applyAlignment="1">
      <alignment horizontal="left" vertical="center"/>
    </xf>
    <xf numFmtId="0" fontId="8" fillId="0" borderId="14" xfId="0" applyNumberFormat="1" applyFont="1" applyFill="1" applyBorder="1" applyAlignment="1">
      <alignment horizontal="left" vertical="center"/>
    </xf>
    <xf numFmtId="0" fontId="7" fillId="0" borderId="15" xfId="0" applyNumberFormat="1" applyFont="1" applyFill="1" applyBorder="1" applyAlignment="1">
      <alignment horizontal="center" vertical="center"/>
    </xf>
    <xf numFmtId="0" fontId="7" fillId="0" borderId="16" xfId="0" applyNumberFormat="1" applyFont="1" applyFill="1" applyBorder="1" applyAlignment="1">
      <alignment horizontal="center" vertical="center"/>
    </xf>
    <xf numFmtId="0" fontId="8" fillId="0" borderId="15" xfId="0" applyNumberFormat="1" applyFont="1" applyFill="1" applyBorder="1" applyAlignment="1">
      <alignment horizontal="left" vertical="center"/>
    </xf>
    <xf numFmtId="0" fontId="8" fillId="0" borderId="0" xfId="0" applyNumberFormat="1" applyFont="1" applyFill="1" applyAlignment="1">
      <alignment horizontal="left" vertical="center"/>
    </xf>
    <xf numFmtId="0" fontId="7" fillId="0" borderId="2" xfId="0" applyNumberFormat="1" applyFont="1" applyFill="1" applyBorder="1" applyAlignment="1">
      <alignment horizontal="center" vertical="center"/>
    </xf>
    <xf numFmtId="0" fontId="7" fillId="0" borderId="3" xfId="0" applyNumberFormat="1" applyFont="1" applyFill="1" applyBorder="1" applyAlignment="1">
      <alignment horizontal="center" vertical="center"/>
    </xf>
    <xf numFmtId="0" fontId="8" fillId="0" borderId="2" xfId="0" applyNumberFormat="1" applyFont="1" applyFill="1" applyBorder="1" applyAlignment="1">
      <alignment horizontal="left" vertical="center"/>
    </xf>
    <xf numFmtId="0" fontId="8" fillId="0" borderId="11" xfId="0" applyNumberFormat="1" applyFont="1" applyFill="1" applyBorder="1" applyAlignment="1">
      <alignment horizontal="left" vertical="center"/>
    </xf>
    <xf numFmtId="0" fontId="7" fillId="0" borderId="15" xfId="0" applyNumberFormat="1" applyFont="1" applyFill="1" applyBorder="1" applyAlignment="1"/>
    <xf numFmtId="0" fontId="9" fillId="0" borderId="0" xfId="0" applyNumberFormat="1" applyFont="1" applyFill="1" applyBorder="1" applyAlignment="1"/>
    <xf numFmtId="0" fontId="10" fillId="0" borderId="15" xfId="0" applyNumberFormat="1" applyFont="1" applyFill="1" applyBorder="1" applyAlignment="1"/>
    <xf numFmtId="0" fontId="10" fillId="0" borderId="0" xfId="0" applyNumberFormat="1" applyFont="1" applyFill="1" applyBorder="1" applyAlignment="1"/>
    <xf numFmtId="0" fontId="11" fillId="0" borderId="5" xfId="0" applyNumberFormat="1" applyFont="1" applyFill="1" applyBorder="1" applyAlignment="1">
      <alignment horizontal="center"/>
    </xf>
    <xf numFmtId="0" fontId="4" fillId="0" borderId="5" xfId="0" applyNumberFormat="1" applyFont="1" applyFill="1" applyBorder="1" applyAlignment="1">
      <alignment horizontal="center"/>
    </xf>
    <xf numFmtId="0" fontId="4" fillId="3" borderId="5" xfId="0" applyNumberFormat="1" applyFont="1" applyFill="1" applyBorder="1" applyAlignment="1">
      <alignment horizontal="center"/>
    </xf>
    <xf numFmtId="0" fontId="12" fillId="0" borderId="5" xfId="0" applyNumberFormat="1" applyFont="1" applyFill="1" applyBorder="1" applyAlignment="1"/>
    <xf numFmtId="0" fontId="4" fillId="4" borderId="5" xfId="0" applyNumberFormat="1" applyFont="1" applyFill="1" applyBorder="1" applyAlignment="1">
      <alignment horizontal="center"/>
    </xf>
    <xf numFmtId="0" fontId="4" fillId="5" borderId="5" xfId="0" applyNumberFormat="1" applyFont="1" applyFill="1" applyBorder="1" applyAlignment="1">
      <alignment horizontal="center"/>
    </xf>
    <xf numFmtId="0" fontId="4" fillId="0" borderId="5" xfId="0" applyNumberFormat="1" applyFont="1" applyFill="1" applyBorder="1" applyAlignment="1"/>
    <xf numFmtId="0" fontId="11" fillId="0" borderId="5" xfId="0" applyNumberFormat="1" applyFont="1" applyFill="1" applyBorder="1" applyAlignment="1"/>
    <xf numFmtId="10" fontId="12" fillId="0" borderId="5" xfId="0" applyNumberFormat="1" applyFont="1" applyFill="1" applyBorder="1" applyAlignment="1"/>
    <xf numFmtId="0" fontId="4" fillId="0" borderId="0" xfId="0" applyNumberFormat="1" applyFont="1" applyFill="1" applyBorder="1" applyAlignment="1"/>
    <xf numFmtId="10" fontId="13" fillId="0" borderId="0" xfId="0" applyNumberFormat="1" applyFont="1" applyFill="1" applyBorder="1" applyAlignment="1"/>
    <xf numFmtId="0" fontId="14" fillId="0" borderId="17" xfId="0" applyNumberFormat="1" applyFont="1" applyFill="1" applyBorder="1" applyAlignment="1"/>
    <xf numFmtId="0" fontId="10" fillId="0" borderId="18" xfId="0" applyNumberFormat="1" applyFont="1" applyFill="1" applyBorder="1" applyAlignment="1"/>
    <xf numFmtId="0" fontId="4" fillId="0" borderId="18" xfId="0" applyNumberFormat="1" applyFont="1" applyFill="1" applyBorder="1" applyAlignment="1"/>
    <xf numFmtId="10" fontId="13" fillId="0" borderId="18" xfId="0" applyNumberFormat="1" applyFont="1" applyFill="1" applyBorder="1" applyAlignment="1"/>
    <xf numFmtId="0" fontId="15" fillId="0" borderId="15" xfId="0" applyNumberFormat="1" applyFont="1" applyFill="1" applyBorder="1" applyAlignment="1"/>
    <xf numFmtId="0" fontId="15" fillId="0" borderId="0" xfId="0" applyNumberFormat="1" applyFont="1" applyFill="1" applyBorder="1" applyAlignment="1"/>
    <xf numFmtId="0" fontId="15" fillId="0" borderId="19" xfId="0" applyNumberFormat="1" applyFont="1" applyFill="1" applyBorder="1" applyAlignment="1">
      <alignment horizontal="left" wrapText="1"/>
    </xf>
    <xf numFmtId="0" fontId="0" fillId="0" borderId="0" xfId="0" applyNumberFormat="1" applyFill="1" applyBorder="1" applyAlignment="1"/>
    <xf numFmtId="0" fontId="6" fillId="0" borderId="3" xfId="0" applyNumberFormat="1" applyFont="1" applyFill="1" applyBorder="1" applyAlignment="1">
      <alignment horizontal="center" vertical="center"/>
    </xf>
    <xf numFmtId="0" fontId="9" fillId="0" borderId="14" xfId="0" applyNumberFormat="1" applyFont="1" applyFill="1" applyBorder="1" applyAlignment="1">
      <alignment horizontal="left" vertical="center"/>
    </xf>
    <xf numFmtId="0" fontId="9" fillId="0" borderId="13" xfId="0" applyNumberFormat="1" applyFont="1" applyFill="1" applyBorder="1" applyAlignment="1">
      <alignment horizontal="left" vertical="center"/>
    </xf>
    <xf numFmtId="0" fontId="9" fillId="0" borderId="0" xfId="0" applyNumberFormat="1" applyFont="1" applyFill="1" applyAlignment="1">
      <alignment horizontal="left" vertical="center"/>
    </xf>
    <xf numFmtId="0" fontId="9" fillId="0" borderId="16" xfId="0" applyNumberFormat="1" applyFont="1" applyFill="1" applyBorder="1" applyAlignment="1">
      <alignment horizontal="left" vertical="center"/>
    </xf>
    <xf numFmtId="0" fontId="8" fillId="0" borderId="3" xfId="0" applyNumberFormat="1" applyFont="1" applyFill="1" applyBorder="1" applyAlignment="1">
      <alignment horizontal="left" vertical="center"/>
    </xf>
    <xf numFmtId="0" fontId="16" fillId="0" borderId="0" xfId="0" applyNumberFormat="1" applyFont="1" applyFill="1" applyBorder="1" applyAlignment="1"/>
    <xf numFmtId="0" fontId="16" fillId="0" borderId="16" xfId="0" applyNumberFormat="1" applyFont="1" applyFill="1" applyBorder="1" applyAlignment="1"/>
    <xf numFmtId="0" fontId="0" fillId="0" borderId="16" xfId="0" applyNumberFormat="1" applyFill="1" applyBorder="1" applyAlignment="1"/>
    <xf numFmtId="0" fontId="0" fillId="0" borderId="18" xfId="0" applyNumberFormat="1" applyFill="1" applyBorder="1" applyAlignment="1"/>
    <xf numFmtId="0" fontId="0" fillId="0" borderId="20" xfId="0" applyNumberFormat="1" applyFill="1" applyBorder="1" applyAlignment="1"/>
    <xf numFmtId="0" fontId="15" fillId="0" borderId="16" xfId="0" applyNumberFormat="1" applyFont="1" applyFill="1" applyBorder="1" applyAlignment="1"/>
    <xf numFmtId="0" fontId="15" fillId="0" borderId="9" xfId="0" applyNumberFormat="1" applyFont="1" applyFill="1" applyBorder="1" applyAlignment="1">
      <alignment horizontal="left" wrapText="1"/>
    </xf>
    <xf numFmtId="0" fontId="17" fillId="0" borderId="0" xfId="58" applyAlignment="1"/>
    <xf numFmtId="0" fontId="18" fillId="0" borderId="6" xfId="60" applyFont="1" applyFill="1" applyBorder="1" applyAlignment="1">
      <alignment horizontal="justify" vertical="center"/>
    </xf>
    <xf numFmtId="177" fontId="17" fillId="0" borderId="0" xfId="58" applyNumberFormat="1" applyFont="1" applyFill="1" applyBorder="1" applyAlignment="1"/>
    <xf numFmtId="0" fontId="19" fillId="0" borderId="6" xfId="58" applyNumberFormat="1" applyFont="1" applyFill="1" applyBorder="1" applyAlignment="1">
      <alignment horizontal="right" vertical="top"/>
    </xf>
    <xf numFmtId="0" fontId="20" fillId="0" borderId="7" xfId="58" applyNumberFormat="1" applyFont="1" applyFill="1" applyBorder="1" applyAlignment="1">
      <alignment horizontal="center" vertical="center"/>
    </xf>
    <xf numFmtId="0" fontId="21" fillId="0" borderId="7" xfId="58" applyNumberFormat="1" applyFont="1" applyFill="1" applyBorder="1" applyAlignment="1">
      <alignment horizontal="center" wrapText="1"/>
    </xf>
    <xf numFmtId="14" fontId="22" fillId="0" borderId="7" xfId="58" applyNumberFormat="1" applyFont="1" applyFill="1" applyBorder="1" applyAlignment="1">
      <alignment horizontal="center"/>
    </xf>
    <xf numFmtId="176" fontId="19" fillId="0" borderId="8" xfId="58" applyNumberFormat="1" applyFont="1" applyFill="1" applyBorder="1" applyAlignment="1">
      <alignment horizontal="right"/>
    </xf>
    <xf numFmtId="178" fontId="17" fillId="0" borderId="0" xfId="58" applyNumberFormat="1" applyFont="1" applyFill="1" applyBorder="1" applyAlignment="1"/>
    <xf numFmtId="0" fontId="23" fillId="0" borderId="7" xfId="61" applyNumberFormat="1" applyFont="1" applyFill="1" applyBorder="1" applyAlignment="1">
      <alignment horizontal="left" vertical="center" wrapText="1"/>
    </xf>
    <xf numFmtId="0" fontId="24" fillId="0" borderId="7" xfId="58" applyFont="1" applyFill="1" applyBorder="1" applyAlignment="1">
      <alignment horizontal="justify" vertical="top" wrapText="1"/>
    </xf>
    <xf numFmtId="0" fontId="17" fillId="0" borderId="7" xfId="58" applyFill="1" applyBorder="1" applyAlignment="1">
      <alignment horizontal="justify" vertical="top" wrapText="1"/>
    </xf>
    <xf numFmtId="0" fontId="17" fillId="0" borderId="8" xfId="58" applyFill="1" applyBorder="1" applyAlignment="1">
      <alignment horizontal="justify" vertical="top" wrapText="1"/>
    </xf>
    <xf numFmtId="0" fontId="25" fillId="0" borderId="0" xfId="58" applyNumberFormat="1" applyFont="1" applyFill="1" applyBorder="1" applyAlignment="1"/>
    <xf numFmtId="0" fontId="25" fillId="0" borderId="0" xfId="58" applyNumberFormat="1" applyFont="1" applyFill="1" applyBorder="1" applyAlignment="1">
      <alignment horizontal="left"/>
    </xf>
  </cellXfs>
  <cellStyles count="63">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常规_DesignIn" xfId="9"/>
    <cellStyle name="60% - 强调文字颜色 3" xfId="10" builtinId="40"/>
    <cellStyle name="超链接" xfId="11" builtinId="8"/>
    <cellStyle name="百分比" xfId="12" builtinId="5"/>
    <cellStyle name="已访问的超链接" xfId="13" builtinId="9"/>
    <cellStyle name="一般_Sheet1_checklist-All_20120321" xfId="14"/>
    <cellStyle name="注释" xfId="15" builtinId="10"/>
    <cellStyle name="60% - 强调文字颜色 2" xfId="16" builtinId="36"/>
    <cellStyle name="标题 4" xfId="17" builtinId="19"/>
    <cellStyle name="警告文本" xfId="18" builtinId="11"/>
    <cellStyle name="常规_GerberOut_2" xfId="19"/>
    <cellStyle name="标题" xfId="20" builtinId="15"/>
    <cellStyle name="解释性文本" xfId="21" builtinId="53"/>
    <cellStyle name="标题 1" xfId="22" builtinId="16"/>
    <cellStyle name="标题 2" xfId="23" builtinId="17"/>
    <cellStyle name="60% - 强调文字颜色 1" xfId="24" builtinId="32"/>
    <cellStyle name="标题 3" xfId="25" builtinId="18"/>
    <cellStyle name="60% - 强调文字颜色 4" xfId="26" builtinId="44"/>
    <cellStyle name="输出" xfId="27" builtinId="21"/>
    <cellStyle name="计算" xfId="28" builtinId="22"/>
    <cellStyle name="检查单元格" xfId="29" builtinId="23"/>
    <cellStyle name="20% - 强调文字颜色 6" xfId="30" builtinId="50"/>
    <cellStyle name="强调文字颜色 2" xfId="31" builtinId="33"/>
    <cellStyle name="链接单元格" xfId="32" builtinId="24"/>
    <cellStyle name="常规_GerberOut" xfId="33"/>
    <cellStyle name="汇总" xfId="34" builtinId="25"/>
    <cellStyle name="好" xfId="35" builtinId="26"/>
    <cellStyle name="适中" xfId="36" builtinId="28"/>
    <cellStyle name="20% - 强调文字颜色 5" xfId="37" builtinId="46"/>
    <cellStyle name="强调文字颜色 1" xfId="38" builtinId="29"/>
    <cellStyle name="20% - 强调文字颜色 1" xfId="39" builtinId="30"/>
    <cellStyle name="常规_DRC_1" xfId="40"/>
    <cellStyle name="40% - 强调文字颜色 1" xfId="41" builtinId="31"/>
    <cellStyle name="20% - 强调文字颜色 2" xfId="42" builtinId="34"/>
    <cellStyle name="一般_Sheet1" xfId="43"/>
    <cellStyle name="40% - 强调文字颜色 2" xfId="44" builtinId="35"/>
    <cellStyle name="强调文字颜色 3" xfId="45" builtinId="37"/>
    <cellStyle name="强调文字颜色 4" xfId="46" builtinId="41"/>
    <cellStyle name="20% - 强调文字颜色 4" xfId="47" builtinId="42"/>
    <cellStyle name="40% - 强调文字颜色 4" xfId="48" builtinId="43"/>
    <cellStyle name="强调文字颜色 5" xfId="49" builtinId="45"/>
    <cellStyle name="40% - 强调文字颜色 5" xfId="50" builtinId="47"/>
    <cellStyle name="60% - 强调文字颜色 5" xfId="51" builtinId="48"/>
    <cellStyle name="强调文字颜色 6" xfId="52" builtinId="49"/>
    <cellStyle name="一般_Sheet1_checklist-All_Rebecca-cleanup" xfId="53"/>
    <cellStyle name="40% - 强调文字颜色 6" xfId="54" builtinId="51"/>
    <cellStyle name="60% - 强调文字颜色 6" xfId="55" builtinId="52"/>
    <cellStyle name="常规 2" xfId="56"/>
    <cellStyle name="常规_checklist(chinese)_checklist-Tago_checklist-All_20120529-silkscreen" xfId="57"/>
    <cellStyle name="常规_Title_1" xfId="58"/>
    <cellStyle name="常规_Silkscreen" xfId="59"/>
    <cellStyle name="常规_Title_2" xfId="60"/>
    <cellStyle name="超链接_Title" xfId="61"/>
    <cellStyle name="一般_Sheet1_checklist-aKim" xfId="62"/>
  </cellStyles>
  <dxfs count="16">
    <dxf>
      <fill>
        <patternFill patternType="solid">
          <fgColor indexed="10"/>
          <bgColor indexed="10"/>
        </patternFill>
      </fill>
    </dxf>
    <dxf>
      <fill>
        <patternFill patternType="solid">
          <fgColor indexed="10"/>
          <bgColor indexed="11"/>
        </patternFill>
      </fill>
    </dxf>
    <dxf>
      <fill>
        <patternFill patternType="solid">
          <fgColor indexed="10"/>
          <bgColor indexed="10"/>
        </patternFill>
      </fill>
    </dxf>
    <dxf>
      <fill>
        <patternFill patternType="solid">
          <fgColor indexed="10"/>
          <bgColor indexed="11"/>
        </patternFill>
      </fill>
    </dxf>
    <dxf>
      <fill>
        <patternFill patternType="solid">
          <bgColor indexed="10"/>
        </patternFill>
      </fill>
    </dxf>
    <dxf>
      <fill>
        <patternFill patternType="solid">
          <bgColor indexed="11"/>
        </patternFill>
      </fill>
    </dxf>
    <dxf>
      <fill>
        <patternFill patternType="solid">
          <bgColor indexed="10"/>
        </patternFill>
      </fill>
    </dxf>
    <dxf>
      <fill>
        <patternFill patternType="solid">
          <bgColor indexed="11"/>
        </patternFill>
      </fill>
    </dxf>
    <dxf>
      <fill>
        <patternFill patternType="solid">
          <bgColor indexed="10"/>
        </patternFill>
      </fill>
    </dxf>
    <dxf>
      <fill>
        <patternFill patternType="solid">
          <bgColor indexed="11"/>
        </patternFill>
      </fill>
    </dxf>
    <dxf>
      <fill>
        <patternFill patternType="solid">
          <bgColor indexed="11"/>
        </patternFill>
      </fill>
    </dxf>
    <dxf>
      <fill>
        <patternFill patternType="solid">
          <bgColor indexed="10"/>
        </patternFill>
      </fill>
    </dxf>
    <dxf>
      <fill>
        <patternFill patternType="solid">
          <bgColor indexed="11"/>
        </patternFill>
      </fill>
    </dxf>
    <dxf>
      <fill>
        <patternFill patternType="solid">
          <bgColor indexed="10"/>
        </patternFill>
      </fill>
    </dxf>
    <dxf>
      <fill>
        <patternFill patternType="solid">
          <bgColor indexed="10"/>
        </patternFill>
      </fill>
    </dxf>
    <dxf>
      <fill>
        <patternFill patternType="solid">
          <bgColor indexed="11"/>
        </patternFill>
      </fill>
    </dxf>
  </dxfs>
  <tableStyles count="0" defaultTableStyle="TableStyleMedium2"/>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152400</xdr:colOff>
      <xdr:row>0</xdr:row>
      <xdr:rowOff>95250</xdr:rowOff>
    </xdr:from>
    <xdr:to>
      <xdr:col>0</xdr:col>
      <xdr:colOff>1057910</xdr:colOff>
      <xdr:row>0</xdr:row>
      <xdr:rowOff>619125</xdr:rowOff>
    </xdr:to>
    <xdr:pic>
      <xdr:nvPicPr>
        <xdr:cNvPr id="1025" name="Picture 1"/>
        <xdr:cNvPicPr/>
      </xdr:nvPicPr>
      <xdr:blipFill>
        <a:blip r:embed="rId1">
          <a:lum/>
        </a:blip>
        <a:stretch>
          <a:fillRect/>
        </a:stretch>
      </xdr:blipFill>
      <xdr:spPr>
        <a:xfrm>
          <a:off x="152400" y="95250"/>
          <a:ext cx="905510" cy="52387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Users\yw_ha\Desktop\A100&#35774;&#35745;&#36164;&#26009;&#28304;&#25991;&#26723;\RecoveredExternalLink1"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itle"/>
      <sheetName val="Project"/>
      <sheetName val="Checklist"/>
    </sheetNames>
    <sheetDataSet>
      <sheetData sheetId="0"/>
      <sheetData sheetId="1"/>
      <sheetData sheetId="2">
        <row r="3">
          <cell r="D3" t="str">
            <v>PASS</v>
          </cell>
        </row>
        <row r="4">
          <cell r="D4" t="str">
            <v>FAIL</v>
          </cell>
        </row>
        <row r="5">
          <cell r="D5" t="str">
            <v>NA</v>
          </cell>
        </row>
        <row r="6">
          <cell r="D6" t="str">
            <v>NA</v>
          </cell>
        </row>
        <row r="7">
          <cell r="D7" t="str">
            <v>NA</v>
          </cell>
        </row>
        <row r="8">
          <cell r="D8" t="str">
            <v>NA</v>
          </cell>
        </row>
        <row r="9">
          <cell r="D9" t="str">
            <v>NA</v>
          </cell>
        </row>
        <row r="10">
          <cell r="D10" t="str">
            <v>NA</v>
          </cell>
        </row>
        <row r="11">
          <cell r="D11" t="str">
            <v>NA</v>
          </cell>
        </row>
        <row r="12">
          <cell r="D12" t="str">
            <v>NA</v>
          </cell>
        </row>
        <row r="13">
          <cell r="D13" t="str">
            <v>NA</v>
          </cell>
        </row>
        <row r="14">
          <cell r="D14" t="str">
            <v>NA</v>
          </cell>
        </row>
        <row r="15">
          <cell r="D15" t="str">
            <v>NA</v>
          </cell>
        </row>
        <row r="16">
          <cell r="D16" t="str">
            <v>NA</v>
          </cell>
        </row>
        <row r="17">
          <cell r="D17" t="str">
            <v>NA</v>
          </cell>
        </row>
        <row r="18">
          <cell r="D18" t="str">
            <v>NA</v>
          </cell>
        </row>
        <row r="19">
          <cell r="D19" t="str">
            <v>NA</v>
          </cell>
        </row>
        <row r="20">
          <cell r="D20" t="str">
            <v>NA</v>
          </cell>
        </row>
        <row r="21">
          <cell r="D21" t="str">
            <v>NA</v>
          </cell>
        </row>
        <row r="22">
          <cell r="D22" t="str">
            <v>NA</v>
          </cell>
        </row>
        <row r="23">
          <cell r="D23" t="str">
            <v>NA</v>
          </cell>
        </row>
        <row r="24">
          <cell r="D24" t="str">
            <v>NA</v>
          </cell>
        </row>
        <row r="25">
          <cell r="D25" t="str">
            <v>NA</v>
          </cell>
        </row>
        <row r="26">
          <cell r="D26" t="str">
            <v>NA</v>
          </cell>
        </row>
        <row r="27">
          <cell r="D27" t="str">
            <v>NA</v>
          </cell>
        </row>
        <row r="28">
          <cell r="D28" t="str">
            <v>NA</v>
          </cell>
        </row>
        <row r="29">
          <cell r="D29" t="str">
            <v>NA</v>
          </cell>
        </row>
        <row r="30">
          <cell r="D30" t="str">
            <v>NA</v>
          </cell>
        </row>
        <row r="31">
          <cell r="D31" t="str">
            <v>NA</v>
          </cell>
        </row>
        <row r="32">
          <cell r="D32" t="str">
            <v>NA</v>
          </cell>
        </row>
        <row r="33">
          <cell r="D33" t="str">
            <v>NA</v>
          </cell>
        </row>
        <row r="34">
          <cell r="D34" t="str">
            <v>NA</v>
          </cell>
        </row>
        <row r="35">
          <cell r="D35" t="str">
            <v>NA</v>
          </cell>
        </row>
        <row r="36">
          <cell r="D36" t="str">
            <v>NA</v>
          </cell>
        </row>
        <row r="37">
          <cell r="D37" t="str">
            <v>NA</v>
          </cell>
        </row>
        <row r="38">
          <cell r="D38" t="str">
            <v>NA</v>
          </cell>
        </row>
        <row r="39">
          <cell r="D39" t="str">
            <v>NA</v>
          </cell>
        </row>
        <row r="40">
          <cell r="D40" t="str">
            <v>NA</v>
          </cell>
        </row>
        <row r="41">
          <cell r="D41" t="str">
            <v>NA</v>
          </cell>
        </row>
        <row r="42">
          <cell r="D42" t="str">
            <v>NA</v>
          </cell>
        </row>
        <row r="44">
          <cell r="D44" t="str">
            <v>NA</v>
          </cell>
        </row>
        <row r="45">
          <cell r="D45" t="str">
            <v>NA</v>
          </cell>
        </row>
        <row r="46">
          <cell r="D46" t="str">
            <v>NA</v>
          </cell>
        </row>
        <row r="47">
          <cell r="D47" t="str">
            <v>NA</v>
          </cell>
        </row>
        <row r="48">
          <cell r="D48" t="str">
            <v>NA</v>
          </cell>
        </row>
        <row r="49">
          <cell r="D49" t="str">
            <v>NA</v>
          </cell>
        </row>
        <row r="50">
          <cell r="D50" t="str">
            <v>NA</v>
          </cell>
        </row>
        <row r="51">
          <cell r="D51" t="str">
            <v>NA</v>
          </cell>
        </row>
        <row r="52">
          <cell r="D52" t="str">
            <v>NA</v>
          </cell>
        </row>
        <row r="53">
          <cell r="D53" t="str">
            <v>NA</v>
          </cell>
        </row>
        <row r="54">
          <cell r="D54" t="str">
            <v>NA</v>
          </cell>
        </row>
        <row r="55">
          <cell r="D55" t="str">
            <v>NA</v>
          </cell>
        </row>
        <row r="56">
          <cell r="D56" t="str">
            <v>NA</v>
          </cell>
        </row>
        <row r="57">
          <cell r="D57" t="str">
            <v>NA</v>
          </cell>
        </row>
        <row r="58">
          <cell r="D58" t="str">
            <v>NA</v>
          </cell>
        </row>
        <row r="59">
          <cell r="D59" t="str">
            <v>NA</v>
          </cell>
        </row>
        <row r="60">
          <cell r="D60" t="str">
            <v>NA</v>
          </cell>
        </row>
        <row r="61">
          <cell r="D61" t="str">
            <v>NA</v>
          </cell>
        </row>
        <row r="63">
          <cell r="D63" t="str">
            <v>NA</v>
          </cell>
        </row>
        <row r="64">
          <cell r="D64" t="str">
            <v>NA</v>
          </cell>
        </row>
        <row r="65">
          <cell r="D65" t="str">
            <v>NA</v>
          </cell>
        </row>
        <row r="66">
          <cell r="D66" t="str">
            <v>NA</v>
          </cell>
        </row>
        <row r="67">
          <cell r="D67" t="str">
            <v>NA</v>
          </cell>
        </row>
        <row r="68">
          <cell r="D68" t="str">
            <v>NA</v>
          </cell>
        </row>
        <row r="69">
          <cell r="D69" t="str">
            <v>NA</v>
          </cell>
        </row>
        <row r="70">
          <cell r="D70" t="str">
            <v>NA</v>
          </cell>
        </row>
        <row r="71">
          <cell r="D71" t="str">
            <v>NA</v>
          </cell>
        </row>
        <row r="72">
          <cell r="D72" t="str">
            <v>NA</v>
          </cell>
        </row>
        <row r="73">
          <cell r="D73" t="str">
            <v>NA</v>
          </cell>
        </row>
        <row r="74">
          <cell r="D74" t="str">
            <v>NA</v>
          </cell>
        </row>
        <row r="75">
          <cell r="D75" t="str">
            <v>NA</v>
          </cell>
        </row>
        <row r="76">
          <cell r="D76" t="str">
            <v>NA</v>
          </cell>
        </row>
        <row r="77">
          <cell r="D77" t="str">
            <v>NA</v>
          </cell>
        </row>
        <row r="78">
          <cell r="D78" t="str">
            <v>NA</v>
          </cell>
        </row>
        <row r="81">
          <cell r="D81" t="str">
            <v>NA</v>
          </cell>
        </row>
      </sheetData>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E987"/>
  <sheetViews>
    <sheetView showGridLines="0" tabSelected="1" workbookViewId="0">
      <selection activeCell="A8" sqref="A8:A25"/>
    </sheetView>
  </sheetViews>
  <sheetFormatPr defaultColWidth="10" defaultRowHeight="12.75" customHeight="1" outlineLevelCol="4"/>
  <cols>
    <col min="1" max="1" width="134" style="96" customWidth="1"/>
  </cols>
  <sheetData>
    <row r="1" ht="53.25" customHeight="1" spans="1:5">
      <c r="A1" s="97" t="s">
        <v>0</v>
      </c>
      <c r="E1" s="98"/>
    </row>
    <row r="2" ht="19.5" customHeight="1" spans="1:5">
      <c r="A2" s="99"/>
      <c r="E2" s="98"/>
    </row>
    <row r="3" ht="84" customHeight="1" spans="1:1">
      <c r="A3" s="100" t="s">
        <v>1</v>
      </c>
    </row>
    <row r="4" ht="22.5" customHeight="1" spans="1:1">
      <c r="A4" s="101" t="s">
        <v>2</v>
      </c>
    </row>
    <row r="5" ht="20.1" customHeight="1" spans="1:1">
      <c r="A5" s="102">
        <v>44155</v>
      </c>
    </row>
    <row r="6" ht="24" hidden="1" customHeight="1" spans="1:4">
      <c r="A6" s="103"/>
      <c r="D6" s="104"/>
    </row>
    <row r="7" ht="94.5" customHeight="1" spans="1:1">
      <c r="A7" s="105"/>
    </row>
    <row r="8" customHeight="1" spans="1:1">
      <c r="A8" s="106" t="s">
        <v>3</v>
      </c>
    </row>
    <row r="9" customHeight="1" spans="1:1">
      <c r="A9" s="107"/>
    </row>
    <row r="10" customHeight="1" spans="1:1">
      <c r="A10" s="107"/>
    </row>
    <row r="11" customHeight="1" spans="1:1">
      <c r="A11" s="107"/>
    </row>
    <row r="12" customHeight="1" spans="1:1">
      <c r="A12" s="107"/>
    </row>
    <row r="13" customHeight="1" spans="1:1">
      <c r="A13" s="107"/>
    </row>
    <row r="14" ht="8.25" customHeight="1" spans="1:1">
      <c r="A14" s="107"/>
    </row>
    <row r="15" hidden="1" customHeight="1" spans="1:1">
      <c r="A15" s="107"/>
    </row>
    <row r="16" hidden="1" customHeight="1" spans="1:1">
      <c r="A16" s="107"/>
    </row>
    <row r="17" hidden="1" customHeight="1" spans="1:1">
      <c r="A17" s="107"/>
    </row>
    <row r="18" hidden="1" customHeight="1" spans="1:1">
      <c r="A18" s="107"/>
    </row>
    <row r="19" hidden="1" customHeight="1" spans="1:1">
      <c r="A19" s="107"/>
    </row>
    <row r="20" hidden="1" customHeight="1" spans="1:1">
      <c r="A20" s="107"/>
    </row>
    <row r="21" hidden="1" customHeight="1" spans="1:1">
      <c r="A21" s="107"/>
    </row>
    <row r="22" hidden="1" customHeight="1" spans="1:1">
      <c r="A22" s="107"/>
    </row>
    <row r="23" hidden="1" customHeight="1" spans="1:1">
      <c r="A23" s="107"/>
    </row>
    <row r="24" hidden="1" customHeight="1" spans="1:1">
      <c r="A24" s="107"/>
    </row>
    <row r="25" ht="99.75" customHeight="1" spans="1:1">
      <c r="A25" s="108"/>
    </row>
    <row r="985" ht="13.15" customHeight="1" spans="1:1">
      <c r="A985" s="109"/>
    </row>
    <row r="986" ht="13.15" customHeight="1" spans="1:1">
      <c r="A986" s="109"/>
    </row>
    <row r="987" ht="13.15" customHeight="1" spans="1:1">
      <c r="A987" s="110"/>
    </row>
  </sheetData>
  <mergeCells count="1">
    <mergeCell ref="A8:A25"/>
  </mergeCells>
  <pageMargins left="0.707638888888889" right="0.707638888888889" top="0.747916666666667" bottom="0.747916666666667" header="0.313888888888889" footer="0.313888888888889"/>
  <pageSetup paperSize="9" scale="99" orientation="landscape"/>
  <headerFooter alignWithMargins="0">
    <oddHeader>&amp;L&amp;G&amp;C&amp;G&amp;R秘密▲5年</oddHeader>
    <oddFooter>&amp;C全志科技版权所有，侵权必究
Copyright © 2018 by Allwinner. All rights reserved&amp;RPage &amp;P of &amp;N</oddFooter>
  </headerFooter>
  <drawing r:id="rId1"/>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N33"/>
  <sheetViews>
    <sheetView showGridLines="0" workbookViewId="0">
      <selection activeCell="A15" sqref="A15:M15"/>
    </sheetView>
  </sheetViews>
  <sheetFormatPr defaultColWidth="9" defaultRowHeight="13.5"/>
  <cols>
    <col min="2" max="2" width="17.875" customWidth="1"/>
    <col min="5" max="5" width="16.875" customWidth="1"/>
    <col min="6" max="6" width="2.875" customWidth="1"/>
    <col min="7" max="7" width="2.875" hidden="1" customWidth="1"/>
    <col min="9" max="9" width="12.875" customWidth="1"/>
    <col min="13" max="13" width="17.7583333333333" customWidth="1"/>
  </cols>
  <sheetData>
    <row r="1" ht="44.25" customHeight="1" spans="1:13">
      <c r="A1" s="46" t="s">
        <v>4</v>
      </c>
      <c r="B1" s="47"/>
      <c r="C1" s="47"/>
      <c r="D1" s="47"/>
      <c r="E1" s="47"/>
      <c r="F1" s="47"/>
      <c r="G1" s="47"/>
      <c r="H1" s="47"/>
      <c r="I1" s="47"/>
      <c r="J1" s="47"/>
      <c r="K1" s="47"/>
      <c r="L1" s="47"/>
      <c r="M1" s="83"/>
    </row>
    <row r="2" spans="1:14">
      <c r="A2" s="48" t="s">
        <v>5</v>
      </c>
      <c r="B2" s="49"/>
      <c r="C2" s="50" t="s">
        <v>6</v>
      </c>
      <c r="D2" s="51"/>
      <c r="E2" s="51"/>
      <c r="F2" s="51"/>
      <c r="G2" s="51"/>
      <c r="H2" s="48" t="s">
        <v>7</v>
      </c>
      <c r="I2" s="49"/>
      <c r="J2" s="84" t="s">
        <v>8</v>
      </c>
      <c r="K2" s="84"/>
      <c r="L2" s="84"/>
      <c r="M2" s="85"/>
      <c r="N2" s="82"/>
    </row>
    <row r="3" ht="28.5" customHeight="1" spans="1:14">
      <c r="A3" s="52"/>
      <c r="B3" s="53"/>
      <c r="C3" s="54"/>
      <c r="D3" s="55"/>
      <c r="E3" s="55"/>
      <c r="F3" s="55"/>
      <c r="G3" s="55"/>
      <c r="H3" s="52"/>
      <c r="I3" s="53"/>
      <c r="J3" s="86"/>
      <c r="K3" s="86"/>
      <c r="L3" s="86"/>
      <c r="M3" s="87"/>
      <c r="N3" s="82"/>
    </row>
    <row r="4" ht="37.5" customHeight="1" spans="1:14">
      <c r="A4" s="56" t="s">
        <v>9</v>
      </c>
      <c r="B4" s="57"/>
      <c r="C4" s="58" t="s">
        <v>8</v>
      </c>
      <c r="D4" s="59"/>
      <c r="E4" s="59"/>
      <c r="F4" s="59"/>
      <c r="G4" s="59"/>
      <c r="H4" s="59"/>
      <c r="I4" s="59"/>
      <c r="J4" s="59"/>
      <c r="K4" s="59"/>
      <c r="L4" s="59"/>
      <c r="M4" s="88"/>
      <c r="N4" s="82"/>
    </row>
    <row r="5" ht="25.5" spans="1:14">
      <c r="A5" s="60" t="s">
        <v>10</v>
      </c>
      <c r="B5" s="61"/>
      <c r="C5" s="61"/>
      <c r="D5" s="61"/>
      <c r="E5" s="61"/>
      <c r="F5" s="61"/>
      <c r="G5" s="61"/>
      <c r="H5" s="61"/>
      <c r="I5" s="61"/>
      <c r="J5" s="89"/>
      <c r="K5" s="89"/>
      <c r="L5" s="89"/>
      <c r="M5" s="90"/>
      <c r="N5" s="82"/>
    </row>
    <row r="6" ht="38.25" spans="1:14">
      <c r="A6" s="62"/>
      <c r="B6" s="63"/>
      <c r="C6" s="64"/>
      <c r="D6" s="64"/>
      <c r="E6" s="65" t="s">
        <v>11</v>
      </c>
      <c r="F6" s="63"/>
      <c r="G6" s="63"/>
      <c r="H6" s="63"/>
      <c r="I6" s="63"/>
      <c r="J6" s="82"/>
      <c r="K6" s="82"/>
      <c r="L6" s="82"/>
      <c r="M6" s="91"/>
      <c r="N6" s="82"/>
    </row>
    <row r="7" ht="38.25" spans="1:14">
      <c r="A7" s="62"/>
      <c r="B7" s="63"/>
      <c r="C7" s="66" t="s">
        <v>12</v>
      </c>
      <c r="D7" s="66"/>
      <c r="E7" s="67">
        <v>95</v>
      </c>
      <c r="F7" s="63"/>
      <c r="G7" s="63"/>
      <c r="H7" s="63"/>
      <c r="I7" s="63"/>
      <c r="J7" s="82"/>
      <c r="K7" s="82"/>
      <c r="L7" s="82"/>
      <c r="M7" s="91"/>
      <c r="N7" s="82"/>
    </row>
    <row r="8" ht="38.25" spans="1:14">
      <c r="A8" s="62"/>
      <c r="B8" s="63"/>
      <c r="C8" s="68" t="s">
        <v>13</v>
      </c>
      <c r="D8" s="68"/>
      <c r="E8" s="67">
        <v>5</v>
      </c>
      <c r="F8" s="63"/>
      <c r="G8" s="63"/>
      <c r="H8" s="63"/>
      <c r="I8" s="63"/>
      <c r="J8" s="82"/>
      <c r="K8" s="82"/>
      <c r="L8" s="82"/>
      <c r="M8" s="91"/>
      <c r="N8" s="82"/>
    </row>
    <row r="9" ht="38.25" spans="1:14">
      <c r="A9" s="62"/>
      <c r="B9" s="63"/>
      <c r="C9" s="69" t="s">
        <v>14</v>
      </c>
      <c r="D9" s="69"/>
      <c r="E9" s="67" t="e">
        <f>COUNTIF([1]Checklist!D3:D81,"NA")</f>
        <v>#VALUE!</v>
      </c>
      <c r="F9" s="63"/>
      <c r="G9" s="63"/>
      <c r="H9" s="63"/>
      <c r="I9" s="63"/>
      <c r="J9" s="82"/>
      <c r="K9" s="82"/>
      <c r="L9" s="82"/>
      <c r="M9" s="91"/>
      <c r="N9" s="82"/>
    </row>
    <row r="10" ht="38.25" spans="1:14">
      <c r="A10" s="62"/>
      <c r="B10" s="63"/>
      <c r="C10" s="70" t="s">
        <v>15</v>
      </c>
      <c r="D10" s="71"/>
      <c r="E10" s="72">
        <f>E7/SUM(E7,E8)</f>
        <v>0.95</v>
      </c>
      <c r="F10" s="63"/>
      <c r="G10" s="63"/>
      <c r="H10" s="63"/>
      <c r="I10" s="63"/>
      <c r="J10" s="82"/>
      <c r="K10" s="82"/>
      <c r="L10" s="82"/>
      <c r="M10" s="91"/>
      <c r="N10" s="82"/>
    </row>
    <row r="11" ht="12.75" customHeight="1" spans="1:14">
      <c r="A11" s="62"/>
      <c r="B11" s="63"/>
      <c r="C11" s="73"/>
      <c r="D11" s="63"/>
      <c r="E11" s="74"/>
      <c r="F11" s="63"/>
      <c r="G11" s="63"/>
      <c r="H11" s="63"/>
      <c r="I11" s="63"/>
      <c r="J11" s="82"/>
      <c r="K11" s="82"/>
      <c r="L11" s="82"/>
      <c r="M11" s="91"/>
      <c r="N11" s="82"/>
    </row>
    <row r="12" ht="35.25" customHeight="1" spans="1:14">
      <c r="A12" s="75" t="s">
        <v>16</v>
      </c>
      <c r="B12" s="76"/>
      <c r="C12" s="77"/>
      <c r="D12" s="76"/>
      <c r="E12" s="78"/>
      <c r="F12" s="76"/>
      <c r="G12" s="76"/>
      <c r="H12" s="76"/>
      <c r="I12" s="76"/>
      <c r="J12" s="92"/>
      <c r="K12" s="92"/>
      <c r="L12" s="92"/>
      <c r="M12" s="93"/>
      <c r="N12" s="82"/>
    </row>
    <row r="13" ht="29.1" customHeight="1" spans="1:14">
      <c r="A13" s="79" t="s">
        <v>17</v>
      </c>
      <c r="B13" s="80"/>
      <c r="C13" s="80"/>
      <c r="D13" s="80"/>
      <c r="E13" s="80"/>
      <c r="F13" s="80"/>
      <c r="G13" s="80"/>
      <c r="H13" s="80"/>
      <c r="I13" s="80"/>
      <c r="J13" s="80"/>
      <c r="K13" s="80"/>
      <c r="L13" s="80"/>
      <c r="M13" s="94"/>
      <c r="N13" s="82"/>
    </row>
    <row r="14" ht="29.1" customHeight="1" spans="1:14">
      <c r="A14" s="79" t="s">
        <v>18</v>
      </c>
      <c r="B14" s="80"/>
      <c r="C14" s="80"/>
      <c r="D14" s="80"/>
      <c r="E14" s="80"/>
      <c r="F14" s="80"/>
      <c r="G14" s="80"/>
      <c r="H14" s="80"/>
      <c r="I14" s="80"/>
      <c r="J14" s="80"/>
      <c r="K14" s="80"/>
      <c r="L14" s="80"/>
      <c r="M14" s="94"/>
      <c r="N14" s="82"/>
    </row>
    <row r="15" ht="23.1" customHeight="1" spans="1:14">
      <c r="A15" s="81"/>
      <c r="B15" s="81"/>
      <c r="C15" s="81"/>
      <c r="D15" s="81"/>
      <c r="E15" s="81"/>
      <c r="F15" s="81"/>
      <c r="G15" s="81"/>
      <c r="H15" s="81"/>
      <c r="I15" s="81"/>
      <c r="J15" s="81"/>
      <c r="K15" s="81"/>
      <c r="L15" s="81"/>
      <c r="M15" s="95"/>
      <c r="N15" s="82"/>
    </row>
    <row r="16" spans="1:14">
      <c r="A16" s="82"/>
      <c r="B16" s="82"/>
      <c r="C16" s="82"/>
      <c r="D16" s="82"/>
      <c r="E16" s="82"/>
      <c r="F16" s="82"/>
      <c r="G16" s="82"/>
      <c r="H16" s="82"/>
      <c r="I16" s="82"/>
      <c r="J16" s="82"/>
      <c r="K16" s="82"/>
      <c r="L16" s="82"/>
      <c r="M16" s="82"/>
      <c r="N16" s="82"/>
    </row>
    <row r="17" spans="1:14">
      <c r="A17" s="82"/>
      <c r="B17" s="82"/>
      <c r="C17" s="82"/>
      <c r="D17" s="82"/>
      <c r="E17" s="82"/>
      <c r="F17" s="82"/>
      <c r="G17" s="82"/>
      <c r="H17" s="82"/>
      <c r="I17" s="82"/>
      <c r="J17" s="82"/>
      <c r="K17" s="82"/>
      <c r="L17" s="82"/>
      <c r="M17" s="82"/>
      <c r="N17" s="82"/>
    </row>
    <row r="18" spans="1:14">
      <c r="A18" s="82"/>
      <c r="B18" s="82"/>
      <c r="C18" s="82"/>
      <c r="D18" s="82"/>
      <c r="E18" s="82"/>
      <c r="F18" s="82"/>
      <c r="G18" s="82"/>
      <c r="H18" s="82"/>
      <c r="I18" s="82"/>
      <c r="J18" s="82"/>
      <c r="K18" s="82"/>
      <c r="L18" s="82"/>
      <c r="M18" s="82"/>
      <c r="N18" s="82"/>
    </row>
    <row r="19" spans="1:14">
      <c r="A19" s="82"/>
      <c r="B19" s="82"/>
      <c r="C19" s="82"/>
      <c r="D19" s="82"/>
      <c r="E19" s="82"/>
      <c r="F19" s="82"/>
      <c r="G19" s="82"/>
      <c r="H19" s="82"/>
      <c r="I19" s="82"/>
      <c r="J19" s="82"/>
      <c r="K19" s="82"/>
      <c r="L19" s="82"/>
      <c r="M19" s="82"/>
      <c r="N19" s="82"/>
    </row>
    <row r="20" spans="1:14">
      <c r="A20" s="82"/>
      <c r="B20" s="82"/>
      <c r="C20" s="82"/>
      <c r="D20" s="82"/>
      <c r="E20" s="82"/>
      <c r="F20" s="82"/>
      <c r="G20" s="82"/>
      <c r="H20" s="82"/>
      <c r="I20" s="82"/>
      <c r="J20" s="82"/>
      <c r="K20" s="82"/>
      <c r="L20" s="82"/>
      <c r="M20" s="82"/>
      <c r="N20" s="82"/>
    </row>
    <row r="21" spans="1:14">
      <c r="A21" s="82"/>
      <c r="B21" s="82"/>
      <c r="C21" s="82"/>
      <c r="D21" s="82"/>
      <c r="E21" s="82"/>
      <c r="F21" s="82"/>
      <c r="G21" s="82"/>
      <c r="H21" s="82"/>
      <c r="I21" s="82"/>
      <c r="J21" s="82"/>
      <c r="K21" s="82"/>
      <c r="L21" s="82"/>
      <c r="M21" s="82"/>
      <c r="N21" s="82"/>
    </row>
    <row r="22" spans="1:14">
      <c r="A22" s="82"/>
      <c r="B22" s="82"/>
      <c r="C22" s="82"/>
      <c r="D22" s="82"/>
      <c r="E22" s="82"/>
      <c r="F22" s="82"/>
      <c r="G22" s="82"/>
      <c r="H22" s="82"/>
      <c r="I22" s="82"/>
      <c r="J22" s="82"/>
      <c r="K22" s="82"/>
      <c r="L22" s="82"/>
      <c r="M22" s="82"/>
      <c r="N22" s="82"/>
    </row>
    <row r="23" spans="1:14">
      <c r="A23" s="82"/>
      <c r="B23" s="82"/>
      <c r="C23" s="82"/>
      <c r="D23" s="82"/>
      <c r="E23" s="82"/>
      <c r="F23" s="82"/>
      <c r="G23" s="82"/>
      <c r="H23" s="82"/>
      <c r="I23" s="82"/>
      <c r="J23" s="82"/>
      <c r="K23" s="82"/>
      <c r="L23" s="82"/>
      <c r="M23" s="82"/>
      <c r="N23" s="82"/>
    </row>
    <row r="24" spans="1:14">
      <c r="A24" s="82"/>
      <c r="B24" s="82"/>
      <c r="C24" s="82"/>
      <c r="D24" s="82"/>
      <c r="E24" s="82"/>
      <c r="F24" s="82"/>
      <c r="G24" s="82"/>
      <c r="H24" s="82"/>
      <c r="I24" s="82"/>
      <c r="J24" s="82"/>
      <c r="K24" s="82"/>
      <c r="L24" s="82"/>
      <c r="M24" s="82"/>
      <c r="N24" s="82"/>
    </row>
    <row r="25" spans="1:14">
      <c r="A25" s="82"/>
      <c r="B25" s="82"/>
      <c r="C25" s="82"/>
      <c r="D25" s="82"/>
      <c r="E25" s="82"/>
      <c r="F25" s="82"/>
      <c r="G25" s="82"/>
      <c r="H25" s="82"/>
      <c r="I25" s="82"/>
      <c r="J25" s="82"/>
      <c r="K25" s="82"/>
      <c r="L25" s="82"/>
      <c r="M25" s="82"/>
      <c r="N25" s="82"/>
    </row>
    <row r="26" spans="1:14">
      <c r="A26" s="82"/>
      <c r="B26" s="82"/>
      <c r="C26" s="82"/>
      <c r="D26" s="82"/>
      <c r="E26" s="82"/>
      <c r="F26" s="82"/>
      <c r="G26" s="82"/>
      <c r="H26" s="82"/>
      <c r="I26" s="82"/>
      <c r="J26" s="82"/>
      <c r="K26" s="82"/>
      <c r="L26" s="82"/>
      <c r="M26" s="82"/>
      <c r="N26" s="82"/>
    </row>
    <row r="27" spans="1:14">
      <c r="A27" s="82"/>
      <c r="B27" s="82"/>
      <c r="C27" s="82"/>
      <c r="D27" s="82"/>
      <c r="E27" s="82"/>
      <c r="F27" s="82"/>
      <c r="G27" s="82"/>
      <c r="H27" s="82"/>
      <c r="I27" s="82"/>
      <c r="J27" s="82"/>
      <c r="K27" s="82"/>
      <c r="L27" s="82"/>
      <c r="M27" s="82"/>
      <c r="N27" s="82"/>
    </row>
    <row r="28" spans="1:14">
      <c r="A28" s="82"/>
      <c r="B28" s="82"/>
      <c r="C28" s="82"/>
      <c r="D28" s="82"/>
      <c r="E28" s="82"/>
      <c r="F28" s="82"/>
      <c r="G28" s="82"/>
      <c r="H28" s="82"/>
      <c r="I28" s="82"/>
      <c r="J28" s="82"/>
      <c r="K28" s="82"/>
      <c r="L28" s="82"/>
      <c r="M28" s="82"/>
      <c r="N28" s="82"/>
    </row>
    <row r="29" spans="1:14">
      <c r="A29" s="82"/>
      <c r="B29" s="82"/>
      <c r="C29" s="82"/>
      <c r="D29" s="82"/>
      <c r="E29" s="82"/>
      <c r="F29" s="82"/>
      <c r="G29" s="82"/>
      <c r="H29" s="82"/>
      <c r="I29" s="82"/>
      <c r="J29" s="82"/>
      <c r="K29" s="82"/>
      <c r="L29" s="82"/>
      <c r="M29" s="82"/>
      <c r="N29" s="82"/>
    </row>
    <row r="30" spans="1:14">
      <c r="A30" s="82"/>
      <c r="B30" s="82"/>
      <c r="C30" s="82"/>
      <c r="D30" s="82"/>
      <c r="E30" s="82"/>
      <c r="F30" s="82"/>
      <c r="G30" s="82"/>
      <c r="H30" s="82"/>
      <c r="I30" s="82"/>
      <c r="J30" s="82"/>
      <c r="K30" s="82"/>
      <c r="L30" s="82"/>
      <c r="M30" s="82"/>
      <c r="N30" s="82"/>
    </row>
    <row r="31" spans="1:14">
      <c r="A31" s="82"/>
      <c r="B31" s="82"/>
      <c r="C31" s="82"/>
      <c r="D31" s="82"/>
      <c r="E31" s="82"/>
      <c r="F31" s="82"/>
      <c r="G31" s="82"/>
      <c r="H31" s="82"/>
      <c r="I31" s="82"/>
      <c r="J31" s="82"/>
      <c r="K31" s="82"/>
      <c r="L31" s="82"/>
      <c r="M31" s="82"/>
      <c r="N31" s="82"/>
    </row>
    <row r="32" spans="1:14">
      <c r="A32" s="82"/>
      <c r="B32" s="82"/>
      <c r="C32" s="82"/>
      <c r="D32" s="82"/>
      <c r="E32" s="82"/>
      <c r="F32" s="82"/>
      <c r="G32" s="82"/>
      <c r="H32" s="82"/>
      <c r="I32" s="82"/>
      <c r="J32" s="82"/>
      <c r="K32" s="82"/>
      <c r="L32" s="82"/>
      <c r="M32" s="82"/>
      <c r="N32" s="82"/>
    </row>
    <row r="33" spans="1:14">
      <c r="A33" s="82"/>
      <c r="B33" s="82"/>
      <c r="C33" s="82"/>
      <c r="D33" s="82"/>
      <c r="E33" s="82"/>
      <c r="F33" s="82"/>
      <c r="G33" s="82"/>
      <c r="H33" s="82"/>
      <c r="I33" s="82"/>
      <c r="J33" s="82"/>
      <c r="K33" s="82"/>
      <c r="L33" s="82"/>
      <c r="M33" s="82"/>
      <c r="N33" s="82"/>
    </row>
  </sheetData>
  <mergeCells count="13">
    <mergeCell ref="A1:M1"/>
    <mergeCell ref="A4:B4"/>
    <mergeCell ref="C4:M4"/>
    <mergeCell ref="C6:D6"/>
    <mergeCell ref="C7:D7"/>
    <mergeCell ref="C8:D8"/>
    <mergeCell ref="C9:D9"/>
    <mergeCell ref="A13:M13"/>
    <mergeCell ref="A15:M15"/>
    <mergeCell ref="A2:B3"/>
    <mergeCell ref="C2:G3"/>
    <mergeCell ref="H2:I3"/>
    <mergeCell ref="J2:M3"/>
  </mergeCells>
  <pageMargins left="0.707638888888889" right="0.707638888888889" top="0.747916666666667" bottom="0.747916666666667" header="0.313888888888889" footer="0.313888888888889"/>
  <pageSetup paperSize="9" scale="99" orientation="landscape"/>
  <headerFooter alignWithMargins="0">
    <oddHeader>&amp;L&amp;G&amp;C&amp;G&amp;R秘密▲5年</oddHeader>
    <oddFooter>&amp;C全志科技版权所有，侵权必究
Copyright © 2018 by Allwinner. All rights reserved&amp;RPage &amp;P of &amp;N</oddFooter>
  </headerFooter>
  <legacyDrawingHF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F21"/>
  <sheetViews>
    <sheetView zoomScale="115" zoomScaleNormal="115" workbookViewId="0">
      <selection activeCell="C15" sqref="C15"/>
    </sheetView>
  </sheetViews>
  <sheetFormatPr defaultColWidth="9" defaultRowHeight="13.5" outlineLevelCol="5"/>
  <cols>
    <col min="1" max="1" width="9" style="1"/>
    <col min="2" max="2" width="8.875" style="1" customWidth="1"/>
    <col min="3" max="3" width="57.2583333333333" style="1" customWidth="1"/>
    <col min="4" max="4" width="13.125" style="1" customWidth="1"/>
    <col min="5" max="5" width="22.875" style="1" customWidth="1"/>
    <col min="6" max="6" width="22.375" style="1" customWidth="1"/>
    <col min="7" max="16384" width="9" style="1"/>
  </cols>
  <sheetData>
    <row r="1" ht="21.75" spans="1:6">
      <c r="A1" s="2" t="s">
        <v>19</v>
      </c>
      <c r="B1" s="3" t="s">
        <v>20</v>
      </c>
      <c r="C1" s="2" t="s">
        <v>21</v>
      </c>
      <c r="D1" s="4" t="s">
        <v>22</v>
      </c>
      <c r="E1" s="5"/>
      <c r="F1" s="2" t="s">
        <v>23</v>
      </c>
    </row>
    <row r="2" ht="21" spans="1:6">
      <c r="A2" s="6"/>
      <c r="B2" s="7"/>
      <c r="C2" s="6"/>
      <c r="D2" s="8" t="s">
        <v>24</v>
      </c>
      <c r="E2" s="8" t="s">
        <v>25</v>
      </c>
      <c r="F2" s="6"/>
    </row>
    <row r="3" ht="34.5" spans="1:6">
      <c r="A3" s="42">
        <v>1</v>
      </c>
      <c r="B3" s="43"/>
      <c r="C3" s="44" t="s">
        <v>26</v>
      </c>
      <c r="D3" s="43" t="s">
        <v>12</v>
      </c>
      <c r="E3" s="45"/>
      <c r="F3" s="45"/>
    </row>
    <row r="4" ht="34.5" spans="1:6">
      <c r="A4" s="42">
        <v>2</v>
      </c>
      <c r="B4" s="43"/>
      <c r="C4" s="44" t="s">
        <v>27</v>
      </c>
      <c r="D4" s="43" t="s">
        <v>13</v>
      </c>
      <c r="E4" s="45" t="s">
        <v>28</v>
      </c>
      <c r="F4" s="45" t="s">
        <v>28</v>
      </c>
    </row>
    <row r="5" ht="18" spans="1:6">
      <c r="A5" s="42">
        <v>3</v>
      </c>
      <c r="B5" s="43"/>
      <c r="C5" s="44" t="s">
        <v>29</v>
      </c>
      <c r="D5" s="43" t="s">
        <v>14</v>
      </c>
      <c r="E5" s="45" t="s">
        <v>28</v>
      </c>
      <c r="F5" s="45"/>
    </row>
    <row r="6" ht="18" spans="1:6">
      <c r="A6" s="42">
        <v>4</v>
      </c>
      <c r="B6" s="43"/>
      <c r="C6" s="44" t="s">
        <v>30</v>
      </c>
      <c r="D6" s="43"/>
      <c r="E6" s="45"/>
      <c r="F6" s="45"/>
    </row>
    <row r="7" ht="34.5" spans="1:6">
      <c r="A7" s="42">
        <v>5</v>
      </c>
      <c r="B7" s="43"/>
      <c r="C7" s="44" t="s">
        <v>31</v>
      </c>
      <c r="D7" s="43"/>
      <c r="E7" s="45"/>
      <c r="F7" s="45"/>
    </row>
    <row r="8" ht="18" spans="1:6">
      <c r="A8" s="42">
        <v>6</v>
      </c>
      <c r="B8" s="43"/>
      <c r="C8" s="44" t="s">
        <v>32</v>
      </c>
      <c r="D8" s="43"/>
      <c r="E8" s="45"/>
      <c r="F8" s="45"/>
    </row>
    <row r="9" ht="35.25" spans="1:6">
      <c r="A9" s="42">
        <v>7</v>
      </c>
      <c r="B9" s="43"/>
      <c r="C9" s="44" t="s">
        <v>33</v>
      </c>
      <c r="D9" s="43"/>
      <c r="E9" s="45"/>
      <c r="F9" s="45"/>
    </row>
    <row r="10" ht="18" spans="1:6">
      <c r="A10" s="42">
        <v>8</v>
      </c>
      <c r="B10" s="43"/>
      <c r="C10" s="44" t="s">
        <v>34</v>
      </c>
      <c r="D10" s="43"/>
      <c r="E10" s="45"/>
      <c r="F10" s="45"/>
    </row>
    <row r="11" ht="34.5" spans="1:6">
      <c r="A11" s="42">
        <v>9</v>
      </c>
      <c r="B11" s="43"/>
      <c r="C11" s="44" t="s">
        <v>35</v>
      </c>
      <c r="D11" s="43"/>
      <c r="E11" s="45"/>
      <c r="F11" s="45"/>
    </row>
    <row r="12" ht="36" spans="1:6">
      <c r="A12" s="42">
        <v>10</v>
      </c>
      <c r="B12" s="43"/>
      <c r="C12" s="44" t="s">
        <v>36</v>
      </c>
      <c r="D12" s="43"/>
      <c r="E12" s="45"/>
      <c r="F12" s="45"/>
    </row>
    <row r="13" ht="21" spans="1:6">
      <c r="A13" s="16"/>
      <c r="B13" s="17"/>
      <c r="C13" s="18"/>
      <c r="D13" s="19"/>
      <c r="E13" s="18"/>
      <c r="F13" s="18"/>
    </row>
    <row r="14" ht="21" spans="1:6">
      <c r="A14" s="16"/>
      <c r="B14" s="17"/>
      <c r="C14" s="18"/>
      <c r="D14" s="19"/>
      <c r="E14" s="18"/>
      <c r="F14" s="18"/>
    </row>
    <row r="15" ht="21" spans="1:6">
      <c r="A15" s="16"/>
      <c r="B15" s="17"/>
      <c r="C15" s="18"/>
      <c r="D15" s="19"/>
      <c r="E15" s="18"/>
      <c r="F15" s="18"/>
    </row>
    <row r="16" ht="21" spans="1:6">
      <c r="A16" s="16"/>
      <c r="B16" s="17"/>
      <c r="C16" s="18"/>
      <c r="D16" s="19"/>
      <c r="E16" s="18"/>
      <c r="F16" s="18"/>
    </row>
    <row r="17" ht="21" spans="1:6">
      <c r="A17" s="16"/>
      <c r="B17" s="17"/>
      <c r="C17" s="18"/>
      <c r="D17" s="19"/>
      <c r="E17" s="18"/>
      <c r="F17" s="18"/>
    </row>
    <row r="18" ht="21" spans="1:6">
      <c r="A18" s="16"/>
      <c r="B18" s="17"/>
      <c r="C18" s="18"/>
      <c r="D18" s="19"/>
      <c r="E18" s="18"/>
      <c r="F18" s="18"/>
    </row>
    <row r="19" ht="21" spans="1:6">
      <c r="A19" s="16"/>
      <c r="B19" s="17"/>
      <c r="C19" s="18"/>
      <c r="D19" s="19"/>
      <c r="E19" s="18"/>
      <c r="F19" s="18"/>
    </row>
    <row r="20" ht="21" spans="1:6">
      <c r="A20" s="16"/>
      <c r="B20" s="17"/>
      <c r="C20" s="18"/>
      <c r="D20" s="19"/>
      <c r="E20" s="18"/>
      <c r="F20" s="18"/>
    </row>
    <row r="21" ht="21" spans="1:6">
      <c r="A21" s="16"/>
      <c r="B21" s="17"/>
      <c r="C21" s="18"/>
      <c r="D21" s="19"/>
      <c r="E21" s="18"/>
      <c r="F21" s="18"/>
    </row>
  </sheetData>
  <mergeCells count="5">
    <mergeCell ref="D1:E1"/>
    <mergeCell ref="A1:A2"/>
    <mergeCell ref="B1:B2"/>
    <mergeCell ref="C1:C2"/>
    <mergeCell ref="F1:F2"/>
  </mergeCells>
  <conditionalFormatting sqref="D3:D12">
    <cfRule type="cellIs" dxfId="0" priority="3" stopIfTrue="1" operator="equal">
      <formula>"fail"</formula>
    </cfRule>
    <cfRule type="cellIs" dxfId="1" priority="4" stopIfTrue="1" operator="equal">
      <formula>"pass"</formula>
    </cfRule>
  </conditionalFormatting>
  <conditionalFormatting sqref="A6 E3:F12 B3:B12 A3 A8 A10:A12">
    <cfRule type="cellIs" dxfId="2" priority="7" stopIfTrue="1" operator="equal">
      <formula>"if F3=fail"</formula>
    </cfRule>
    <cfRule type="cellIs" dxfId="3" priority="8" stopIfTrue="1" operator="equal">
      <formula>"F3=""pass"""</formula>
    </cfRule>
  </conditionalFormatting>
  <dataValidations count="2">
    <dataValidation allowBlank="1" showInputMessage="1" showErrorMessage="1" sqref="D2"/>
    <dataValidation type="list" allowBlank="1" showInputMessage="1" showErrorMessage="1" sqref="D3:D12">
      <formula1>"NA,PASS,FAIL"</formula1>
    </dataValidation>
  </dataValidations>
  <pageMargins left="0.707638888888889" right="0.707638888888889" top="0.747916666666667" bottom="0.747916666666667" header="0.313888888888889" footer="0.313888888888889"/>
  <pageSetup paperSize="9" scale="99" orientation="landscape"/>
  <headerFooter alignWithMargins="0">
    <oddHeader>&amp;L&amp;G&amp;C&amp;G&amp;R秘密▲5年</oddHeader>
    <oddFooter>&amp;C全志科技版权所有，侵权必究
Copyright © 2018 by Allwinner. All rights reserved&amp;RPage &amp;P of &amp;N</oddFooter>
  </headerFooter>
  <legacyDrawingHF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F38"/>
  <sheetViews>
    <sheetView zoomScale="130" zoomScaleNormal="130" workbookViewId="0">
      <selection activeCell="C43" sqref="C43"/>
    </sheetView>
  </sheetViews>
  <sheetFormatPr defaultColWidth="9" defaultRowHeight="28.35" customHeight="1" outlineLevelCol="5"/>
  <cols>
    <col min="1" max="1" width="9" style="1"/>
    <col min="2" max="2" width="8.875" style="1" customWidth="1"/>
    <col min="3" max="3" width="57.2583333333333" style="1" customWidth="1"/>
    <col min="4" max="4" width="13.125" style="1" customWidth="1"/>
    <col min="5" max="5" width="22.875" style="1" customWidth="1"/>
    <col min="6" max="6" width="22.375" style="1" customWidth="1"/>
    <col min="7" max="16384" width="9" style="1"/>
  </cols>
  <sheetData>
    <row r="1" ht="21.75" spans="1:6">
      <c r="A1" s="2" t="s">
        <v>19</v>
      </c>
      <c r="B1" s="3" t="s">
        <v>20</v>
      </c>
      <c r="C1" s="2" t="s">
        <v>21</v>
      </c>
      <c r="D1" s="4" t="s">
        <v>22</v>
      </c>
      <c r="E1" s="5"/>
      <c r="F1" s="2" t="s">
        <v>23</v>
      </c>
    </row>
    <row r="2" ht="21.75" spans="1:6">
      <c r="A2" s="35"/>
      <c r="B2" s="36"/>
      <c r="C2" s="35"/>
      <c r="D2" s="37" t="s">
        <v>24</v>
      </c>
      <c r="E2" s="37" t="s">
        <v>25</v>
      </c>
      <c r="F2" s="35"/>
    </row>
    <row r="3" ht="20.25" spans="1:6">
      <c r="A3" s="38">
        <v>1</v>
      </c>
      <c r="B3" s="25" t="s">
        <v>37</v>
      </c>
      <c r="C3" s="26" t="s">
        <v>38</v>
      </c>
      <c r="D3" s="38" t="s">
        <v>12</v>
      </c>
      <c r="E3" s="39"/>
      <c r="F3" s="39"/>
    </row>
    <row r="4" ht="20.25" spans="1:6">
      <c r="A4" s="38">
        <v>2</v>
      </c>
      <c r="B4" s="25"/>
      <c r="C4" s="26" t="s">
        <v>39</v>
      </c>
      <c r="D4" s="38" t="s">
        <v>13</v>
      </c>
      <c r="E4" s="39"/>
      <c r="F4" s="39"/>
    </row>
    <row r="5" ht="20.25" spans="1:6">
      <c r="A5" s="38">
        <v>3</v>
      </c>
      <c r="B5" s="25" t="s">
        <v>40</v>
      </c>
      <c r="C5" s="26" t="s">
        <v>41</v>
      </c>
      <c r="D5" s="40" t="s">
        <v>14</v>
      </c>
      <c r="E5" s="39"/>
      <c r="F5" s="39"/>
    </row>
    <row r="6" ht="20.25" spans="1:6">
      <c r="A6" s="38">
        <v>4</v>
      </c>
      <c r="B6" s="25"/>
      <c r="C6" s="26" t="s">
        <v>42</v>
      </c>
      <c r="D6" s="40"/>
      <c r="E6" s="39"/>
      <c r="F6" s="39"/>
    </row>
    <row r="7" ht="34.5" spans="1:6">
      <c r="A7" s="38">
        <v>5</v>
      </c>
      <c r="B7" s="25"/>
      <c r="C7" s="26" t="s">
        <v>43</v>
      </c>
      <c r="D7" s="40"/>
      <c r="E7" s="39"/>
      <c r="F7" s="39"/>
    </row>
    <row r="8" ht="34.5" spans="1:6">
      <c r="A8" s="38">
        <v>6</v>
      </c>
      <c r="B8" s="25"/>
      <c r="C8" s="26" t="s">
        <v>44</v>
      </c>
      <c r="D8" s="40"/>
      <c r="E8" s="39"/>
      <c r="F8" s="39"/>
    </row>
    <row r="9" ht="34.5" spans="1:6">
      <c r="A9" s="38">
        <v>7</v>
      </c>
      <c r="B9" s="25"/>
      <c r="C9" s="26" t="s">
        <v>45</v>
      </c>
      <c r="D9" s="40"/>
      <c r="E9" s="39"/>
      <c r="F9" s="39"/>
    </row>
    <row r="10" ht="20.25" spans="1:6">
      <c r="A10" s="38">
        <v>8</v>
      </c>
      <c r="B10" s="25"/>
      <c r="C10" s="26" t="s">
        <v>46</v>
      </c>
      <c r="D10" s="40"/>
      <c r="E10" s="39"/>
      <c r="F10" s="39"/>
    </row>
    <row r="11" ht="20.25" spans="1:6">
      <c r="A11" s="38">
        <v>9</v>
      </c>
      <c r="B11" s="25"/>
      <c r="C11" s="26" t="s">
        <v>47</v>
      </c>
      <c r="D11" s="40"/>
      <c r="E11" s="39"/>
      <c r="F11" s="39"/>
    </row>
    <row r="12" ht="20.25" spans="1:6">
      <c r="A12" s="38">
        <v>10</v>
      </c>
      <c r="B12" s="25"/>
      <c r="C12" s="26" t="s">
        <v>48</v>
      </c>
      <c r="D12" s="40"/>
      <c r="E12" s="39"/>
      <c r="F12" s="39"/>
    </row>
    <row r="13" ht="34.5" spans="1:6">
      <c r="A13" s="38">
        <v>11</v>
      </c>
      <c r="B13" s="25"/>
      <c r="C13" s="26" t="s">
        <v>49</v>
      </c>
      <c r="D13" s="40"/>
      <c r="E13" s="39"/>
      <c r="F13" s="39"/>
    </row>
    <row r="14" ht="34.5" spans="1:6">
      <c r="A14" s="38">
        <v>12</v>
      </c>
      <c r="B14" s="25"/>
      <c r="C14" s="26" t="s">
        <v>50</v>
      </c>
      <c r="D14" s="40"/>
      <c r="E14" s="39"/>
      <c r="F14" s="39"/>
    </row>
    <row r="15" ht="36" spans="1:6">
      <c r="A15" s="38">
        <v>13</v>
      </c>
      <c r="B15" s="25"/>
      <c r="C15" s="26" t="s">
        <v>51</v>
      </c>
      <c r="D15" s="40"/>
      <c r="E15" s="39"/>
      <c r="F15" s="39"/>
    </row>
    <row r="16" ht="51.75" spans="1:6">
      <c r="A16" s="40">
        <v>14</v>
      </c>
      <c r="B16" s="25"/>
      <c r="C16" s="26" t="s">
        <v>52</v>
      </c>
      <c r="D16" s="40"/>
      <c r="E16" s="39"/>
      <c r="F16" s="39"/>
    </row>
    <row r="17" ht="36" spans="1:6">
      <c r="A17" s="40">
        <v>15</v>
      </c>
      <c r="B17" s="25"/>
      <c r="C17" s="26" t="s">
        <v>53</v>
      </c>
      <c r="D17" s="40"/>
      <c r="E17" s="39"/>
      <c r="F17" s="39"/>
    </row>
    <row r="18" ht="36" spans="1:6">
      <c r="A18" s="38">
        <v>16</v>
      </c>
      <c r="B18" s="25"/>
      <c r="C18" s="31" t="s">
        <v>54</v>
      </c>
      <c r="D18" s="40"/>
      <c r="E18" s="39"/>
      <c r="F18" s="39"/>
    </row>
    <row r="19" ht="36" spans="1:6">
      <c r="A19" s="40">
        <v>17</v>
      </c>
      <c r="B19" s="25"/>
      <c r="C19" s="31" t="s">
        <v>55</v>
      </c>
      <c r="D19" s="40"/>
      <c r="E19" s="39"/>
      <c r="F19" s="39"/>
    </row>
    <row r="20" ht="36" spans="1:6">
      <c r="A20" s="40">
        <v>18</v>
      </c>
      <c r="B20" s="25"/>
      <c r="C20" s="31" t="s">
        <v>56</v>
      </c>
      <c r="D20" s="40"/>
      <c r="E20" s="39"/>
      <c r="F20" s="39"/>
    </row>
    <row r="21" ht="36" spans="1:6">
      <c r="A21" s="40">
        <v>19</v>
      </c>
      <c r="B21" s="25"/>
      <c r="C21" s="31" t="s">
        <v>57</v>
      </c>
      <c r="D21" s="40"/>
      <c r="E21" s="39"/>
      <c r="F21" s="39"/>
    </row>
    <row r="22" ht="36" spans="1:6">
      <c r="A22" s="40">
        <v>20</v>
      </c>
      <c r="B22" s="25"/>
      <c r="C22" s="31" t="s">
        <v>58</v>
      </c>
      <c r="D22" s="40"/>
      <c r="E22" s="39"/>
      <c r="F22" s="39"/>
    </row>
    <row r="23" ht="20.25" spans="1:6">
      <c r="A23" s="40">
        <v>21</v>
      </c>
      <c r="B23" s="25"/>
      <c r="C23" s="31" t="s">
        <v>59</v>
      </c>
      <c r="D23" s="40"/>
      <c r="E23" s="39"/>
      <c r="F23" s="39"/>
    </row>
    <row r="24" ht="20.25" spans="1:6">
      <c r="A24" s="40">
        <v>22</v>
      </c>
      <c r="B24" s="25"/>
      <c r="C24" s="31" t="s">
        <v>60</v>
      </c>
      <c r="D24" s="40"/>
      <c r="E24" s="39"/>
      <c r="F24" s="39"/>
    </row>
    <row r="25" ht="54" spans="1:6">
      <c r="A25" s="40">
        <v>23</v>
      </c>
      <c r="B25" s="25"/>
      <c r="C25" s="31" t="s">
        <v>61</v>
      </c>
      <c r="D25" s="40"/>
      <c r="E25" s="39"/>
      <c r="F25" s="39"/>
    </row>
    <row r="26" ht="20.25" spans="1:6">
      <c r="A26" s="40">
        <v>24</v>
      </c>
      <c r="B26" s="25"/>
      <c r="C26" s="31" t="s">
        <v>62</v>
      </c>
      <c r="D26" s="40"/>
      <c r="E26" s="39"/>
      <c r="F26" s="39"/>
    </row>
    <row r="27" ht="36" spans="1:6">
      <c r="A27" s="40">
        <v>25</v>
      </c>
      <c r="B27" s="25"/>
      <c r="C27" s="31" t="s">
        <v>63</v>
      </c>
      <c r="D27" s="40"/>
      <c r="E27" s="39"/>
      <c r="F27" s="39"/>
    </row>
    <row r="28" ht="20.25" spans="1:6">
      <c r="A28" s="40">
        <v>26</v>
      </c>
      <c r="B28" s="25"/>
      <c r="C28" s="26" t="s">
        <v>64</v>
      </c>
      <c r="D28" s="40"/>
      <c r="E28" s="39"/>
      <c r="F28" s="39"/>
    </row>
    <row r="29" ht="34.5" spans="1:6">
      <c r="A29" s="40">
        <v>27</v>
      </c>
      <c r="B29" s="25"/>
      <c r="C29" s="26" t="s">
        <v>65</v>
      </c>
      <c r="D29" s="40"/>
      <c r="E29" s="39"/>
      <c r="F29" s="39"/>
    </row>
    <row r="30" ht="20.25" spans="1:6">
      <c r="A30" s="40">
        <v>28</v>
      </c>
      <c r="B30" s="25"/>
      <c r="C30" s="26" t="s">
        <v>66</v>
      </c>
      <c r="D30" s="40"/>
      <c r="E30" s="39"/>
      <c r="F30" s="39"/>
    </row>
    <row r="31" ht="20.25" spans="1:6">
      <c r="A31" s="40">
        <v>29</v>
      </c>
      <c r="B31" s="25"/>
      <c r="C31" s="26" t="s">
        <v>67</v>
      </c>
      <c r="D31" s="40"/>
      <c r="E31" s="39"/>
      <c r="F31" s="39"/>
    </row>
    <row r="32" ht="34.5" spans="1:6">
      <c r="A32" s="40">
        <v>30</v>
      </c>
      <c r="B32" s="25"/>
      <c r="C32" s="26" t="s">
        <v>68</v>
      </c>
      <c r="D32" s="40"/>
      <c r="E32" s="39"/>
      <c r="F32" s="39"/>
    </row>
    <row r="33" ht="34.5" spans="1:6">
      <c r="A33" s="40">
        <v>31</v>
      </c>
      <c r="B33" s="25"/>
      <c r="C33" s="26" t="s">
        <v>69</v>
      </c>
      <c r="D33" s="40"/>
      <c r="E33" s="39"/>
      <c r="F33" s="39"/>
    </row>
    <row r="34" ht="34.5" spans="1:6">
      <c r="A34" s="40">
        <v>32</v>
      </c>
      <c r="B34" s="25"/>
      <c r="C34" s="26" t="s">
        <v>70</v>
      </c>
      <c r="D34" s="40"/>
      <c r="E34" s="39"/>
      <c r="F34" s="39"/>
    </row>
    <row r="35" ht="34.5" spans="1:6">
      <c r="A35" s="40">
        <v>33</v>
      </c>
      <c r="B35" s="25"/>
      <c r="C35" s="26" t="s">
        <v>71</v>
      </c>
      <c r="D35" s="40"/>
      <c r="E35" s="39"/>
      <c r="F35" s="39"/>
    </row>
    <row r="36" ht="34.5" spans="1:6">
      <c r="A36" s="40">
        <v>34</v>
      </c>
      <c r="B36" s="25"/>
      <c r="C36" s="26" t="s">
        <v>72</v>
      </c>
      <c r="D36" s="40"/>
      <c r="E36" s="39"/>
      <c r="F36" s="39"/>
    </row>
    <row r="37" ht="34.5" spans="1:6">
      <c r="A37" s="40">
        <v>35</v>
      </c>
      <c r="B37" s="25"/>
      <c r="C37" s="26" t="s">
        <v>73</v>
      </c>
      <c r="D37" s="40"/>
      <c r="E37" s="39"/>
      <c r="F37" s="39"/>
    </row>
    <row r="38" ht="51.75" spans="1:6">
      <c r="A38" s="40">
        <v>36</v>
      </c>
      <c r="B38" s="25"/>
      <c r="C38" s="41" t="s">
        <v>74</v>
      </c>
      <c r="D38" s="40"/>
      <c r="E38" s="39"/>
      <c r="F38" s="39"/>
    </row>
  </sheetData>
  <mergeCells count="7">
    <mergeCell ref="D1:E1"/>
    <mergeCell ref="A1:A2"/>
    <mergeCell ref="B1:B2"/>
    <mergeCell ref="B3:B4"/>
    <mergeCell ref="B5:B38"/>
    <mergeCell ref="C1:C2"/>
    <mergeCell ref="F1:F2"/>
  </mergeCells>
  <conditionalFormatting sqref="D3:D38">
    <cfRule type="cellIs" dxfId="4" priority="3" stopIfTrue="1" operator="equal">
      <formula>"fail"</formula>
    </cfRule>
    <cfRule type="cellIs" dxfId="5" priority="4" stopIfTrue="1" operator="equal">
      <formula>"pass"</formula>
    </cfRule>
  </conditionalFormatting>
  <conditionalFormatting sqref="F3:F13">
    <cfRule type="cellIs" dxfId="6" priority="1" stopIfTrue="1" operator="equal">
      <formula>"if F3=fail"</formula>
    </cfRule>
    <cfRule type="cellIs" dxfId="7" priority="2" stopIfTrue="1" operator="equal">
      <formula>"F3=""pass"""</formula>
    </cfRule>
  </conditionalFormatting>
  <dataValidations count="2">
    <dataValidation allowBlank="1" showInputMessage="1" showErrorMessage="1" sqref="D2"/>
    <dataValidation type="list" allowBlank="1" showInputMessage="1" showErrorMessage="1" sqref="D3:D19 D20:D38">
      <formula1>"NA,PASS,FAIL"</formula1>
    </dataValidation>
  </dataValidations>
  <pageMargins left="0.707638888888889" right="0.707638888888889" top="0.747916666666667" bottom="0.747916666666667" header="0.313888888888889" footer="0.313888888888889"/>
  <pageSetup paperSize="9" scale="99" orientation="landscape"/>
  <headerFooter alignWithMargins="0">
    <oddHeader>&amp;L&amp;G&amp;C&amp;G&amp;R秘密▲5年</oddHeader>
    <oddFooter>&amp;C全志科技版权所有，侵权必究
Copyright © 2018 by Allwinner. All rights reserved&amp;RPage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F67"/>
  <sheetViews>
    <sheetView zoomScale="115" zoomScaleNormal="115" workbookViewId="0">
      <selection activeCell="A23" sqref="A23:A67"/>
    </sheetView>
  </sheetViews>
  <sheetFormatPr defaultColWidth="9" defaultRowHeight="13.5" outlineLevelCol="5"/>
  <cols>
    <col min="1" max="1" width="9" style="1"/>
    <col min="2" max="2" width="8.875" style="1" customWidth="1"/>
    <col min="3" max="3" width="66.125" style="1" customWidth="1"/>
    <col min="4" max="4" width="13.125" style="1" customWidth="1"/>
    <col min="5" max="5" width="22.875" style="1" customWidth="1"/>
    <col min="6" max="6" width="22.375" style="1" customWidth="1"/>
    <col min="7" max="16384" width="9" style="1"/>
  </cols>
  <sheetData>
    <row r="1" ht="21.75" spans="1:6">
      <c r="A1" s="2" t="s">
        <v>19</v>
      </c>
      <c r="B1" s="3" t="s">
        <v>20</v>
      </c>
      <c r="C1" s="2" t="s">
        <v>21</v>
      </c>
      <c r="D1" s="4" t="s">
        <v>22</v>
      </c>
      <c r="E1" s="5"/>
      <c r="F1" s="2" t="s">
        <v>23</v>
      </c>
    </row>
    <row r="2" ht="21" spans="1:6">
      <c r="A2" s="6"/>
      <c r="B2" s="7"/>
      <c r="C2" s="6"/>
      <c r="D2" s="8" t="s">
        <v>24</v>
      </c>
      <c r="E2" s="8" t="s">
        <v>25</v>
      </c>
      <c r="F2" s="6"/>
    </row>
    <row r="3" ht="17.25" spans="1:6">
      <c r="A3" s="24">
        <v>1</v>
      </c>
      <c r="B3" s="25" t="s">
        <v>75</v>
      </c>
      <c r="C3" s="26" t="s">
        <v>76</v>
      </c>
      <c r="D3" s="24" t="s">
        <v>12</v>
      </c>
      <c r="E3" s="27"/>
      <c r="F3" s="28"/>
    </row>
    <row r="4" ht="51.75" spans="1:6">
      <c r="A4" s="24">
        <v>2</v>
      </c>
      <c r="B4" s="25"/>
      <c r="C4" s="26" t="s">
        <v>77</v>
      </c>
      <c r="D4" s="24" t="s">
        <v>13</v>
      </c>
      <c r="E4" s="27"/>
      <c r="F4" s="28"/>
    </row>
    <row r="5" ht="51.75" spans="1:6">
      <c r="A5" s="24">
        <v>3</v>
      </c>
      <c r="B5" s="25"/>
      <c r="C5" s="26" t="s">
        <v>78</v>
      </c>
      <c r="D5" s="24" t="s">
        <v>14</v>
      </c>
      <c r="E5" s="27"/>
      <c r="F5" s="28"/>
    </row>
    <row r="6" ht="34.5" spans="1:6">
      <c r="A6" s="24">
        <v>4</v>
      </c>
      <c r="B6" s="25"/>
      <c r="C6" s="26" t="s">
        <v>79</v>
      </c>
      <c r="D6" s="24"/>
      <c r="E6" s="27"/>
      <c r="F6" s="28"/>
    </row>
    <row r="7" ht="17.25" spans="1:6">
      <c r="A7" s="24">
        <v>5</v>
      </c>
      <c r="B7" s="25"/>
      <c r="C7" s="26" t="s">
        <v>80</v>
      </c>
      <c r="D7" s="24"/>
      <c r="E7" s="27"/>
      <c r="F7" s="28"/>
    </row>
    <row r="8" ht="17.25" spans="1:6">
      <c r="A8" s="24">
        <v>6</v>
      </c>
      <c r="B8" s="25"/>
      <c r="C8" s="26" t="s">
        <v>81</v>
      </c>
      <c r="D8" s="24"/>
      <c r="E8" s="27"/>
      <c r="F8" s="28"/>
    </row>
    <row r="9" ht="17.25" spans="1:6">
      <c r="A9" s="24">
        <v>7</v>
      </c>
      <c r="B9" s="25"/>
      <c r="C9" s="26" t="s">
        <v>82</v>
      </c>
      <c r="D9" s="24"/>
      <c r="E9" s="27"/>
      <c r="F9" s="28"/>
    </row>
    <row r="10" ht="17.25" spans="1:6">
      <c r="A10" s="24">
        <v>8</v>
      </c>
      <c r="B10" s="25"/>
      <c r="C10" s="26" t="s">
        <v>83</v>
      </c>
      <c r="D10" s="24"/>
      <c r="E10" s="27"/>
      <c r="F10" s="28"/>
    </row>
    <row r="11" ht="34.5" spans="1:6">
      <c r="A11" s="24">
        <v>9</v>
      </c>
      <c r="B11" s="25" t="s">
        <v>84</v>
      </c>
      <c r="C11" s="26" t="s">
        <v>85</v>
      </c>
      <c r="D11" s="24"/>
      <c r="E11" s="27"/>
      <c r="F11" s="28"/>
    </row>
    <row r="12" ht="34.5" spans="1:6">
      <c r="A12" s="24">
        <v>10</v>
      </c>
      <c r="B12" s="25"/>
      <c r="C12" s="26" t="s">
        <v>86</v>
      </c>
      <c r="D12" s="24"/>
      <c r="E12" s="27"/>
      <c r="F12" s="28"/>
    </row>
    <row r="13" ht="18" spans="1:6">
      <c r="A13" s="24">
        <v>11</v>
      </c>
      <c r="B13" s="25"/>
      <c r="C13" s="26" t="s">
        <v>87</v>
      </c>
      <c r="D13" s="24"/>
      <c r="E13" s="27"/>
      <c r="F13" s="28"/>
    </row>
    <row r="14" ht="61.5" customHeight="1" spans="1:6">
      <c r="A14" s="24">
        <v>12</v>
      </c>
      <c r="B14" s="25"/>
      <c r="C14" s="26" t="s">
        <v>88</v>
      </c>
      <c r="D14" s="24"/>
      <c r="E14" s="27"/>
      <c r="F14" s="28"/>
    </row>
    <row r="15" ht="17.25" spans="1:6">
      <c r="A15" s="24">
        <v>13</v>
      </c>
      <c r="B15" s="25"/>
      <c r="C15" s="26" t="s">
        <v>89</v>
      </c>
      <c r="D15" s="24"/>
      <c r="E15" s="27"/>
      <c r="F15" s="28"/>
    </row>
    <row r="16" ht="17.25" spans="1:6">
      <c r="A16" s="24">
        <v>14</v>
      </c>
      <c r="B16" s="25"/>
      <c r="C16" s="26" t="s">
        <v>90</v>
      </c>
      <c r="D16" s="24"/>
      <c r="E16" s="27"/>
      <c r="F16" s="28"/>
    </row>
    <row r="17" ht="17.25" spans="1:6">
      <c r="A17" s="24">
        <v>15</v>
      </c>
      <c r="B17" s="25"/>
      <c r="C17" s="26" t="s">
        <v>91</v>
      </c>
      <c r="D17" s="24"/>
      <c r="E17" s="27"/>
      <c r="F17" s="28"/>
    </row>
    <row r="18" ht="17.25" spans="1:6">
      <c r="A18" s="24">
        <v>16</v>
      </c>
      <c r="B18" s="25"/>
      <c r="C18" s="26" t="s">
        <v>92</v>
      </c>
      <c r="D18" s="24"/>
      <c r="E18" s="27"/>
      <c r="F18" s="28"/>
    </row>
    <row r="19" ht="17.25" spans="1:6">
      <c r="A19" s="24">
        <v>17</v>
      </c>
      <c r="B19" s="29" t="s">
        <v>93</v>
      </c>
      <c r="C19" s="26" t="s">
        <v>94</v>
      </c>
      <c r="D19" s="24"/>
      <c r="E19" s="27"/>
      <c r="F19" s="28"/>
    </row>
    <row r="20" ht="17.25" spans="1:6">
      <c r="A20" s="24">
        <v>18</v>
      </c>
      <c r="B20" s="30"/>
      <c r="C20" s="26" t="s">
        <v>95</v>
      </c>
      <c r="D20" s="24"/>
      <c r="E20" s="27"/>
      <c r="F20" s="28"/>
    </row>
    <row r="21" ht="17.25" spans="1:6">
      <c r="A21" s="24">
        <v>19</v>
      </c>
      <c r="B21" s="30"/>
      <c r="C21" s="26" t="s">
        <v>96</v>
      </c>
      <c r="D21" s="24"/>
      <c r="E21" s="27"/>
      <c r="F21" s="28"/>
    </row>
    <row r="22" ht="51.75" spans="1:6">
      <c r="A22" s="24">
        <v>20</v>
      </c>
      <c r="B22" s="30"/>
      <c r="C22" s="26" t="s">
        <v>97</v>
      </c>
      <c r="D22" s="24"/>
      <c r="E22" s="27"/>
      <c r="F22" s="28"/>
    </row>
    <row r="23" ht="34.5" spans="1:6">
      <c r="A23" s="24">
        <v>21</v>
      </c>
      <c r="B23" s="30"/>
      <c r="C23" s="26" t="s">
        <v>98</v>
      </c>
      <c r="D23" s="24"/>
      <c r="E23" s="27"/>
      <c r="F23" s="28"/>
    </row>
    <row r="24" ht="34.5" spans="1:6">
      <c r="A24" s="24">
        <v>22</v>
      </c>
      <c r="B24" s="30"/>
      <c r="C24" s="26" t="s">
        <v>99</v>
      </c>
      <c r="D24" s="24"/>
      <c r="E24" s="27"/>
      <c r="F24" s="28"/>
    </row>
    <row r="25" ht="34.5" spans="1:6">
      <c r="A25" s="24">
        <v>23</v>
      </c>
      <c r="B25" s="30"/>
      <c r="C25" s="26" t="s">
        <v>100</v>
      </c>
      <c r="D25" s="24"/>
      <c r="E25" s="27"/>
      <c r="F25" s="28"/>
    </row>
    <row r="26" ht="53.25" spans="1:6">
      <c r="A26" s="24">
        <v>24</v>
      </c>
      <c r="B26" s="30"/>
      <c r="C26" s="26" t="s">
        <v>101</v>
      </c>
      <c r="D26" s="24"/>
      <c r="E26" s="27"/>
      <c r="F26" s="28"/>
    </row>
    <row r="27" ht="34.5" spans="1:6">
      <c r="A27" s="24">
        <v>25</v>
      </c>
      <c r="B27" s="30"/>
      <c r="C27" s="26" t="s">
        <v>102</v>
      </c>
      <c r="D27" s="24"/>
      <c r="E27" s="27"/>
      <c r="F27" s="28"/>
    </row>
    <row r="28" ht="36" spans="1:6">
      <c r="A28" s="24">
        <v>26</v>
      </c>
      <c r="B28" s="30"/>
      <c r="C28" s="31" t="s">
        <v>103</v>
      </c>
      <c r="D28" s="24"/>
      <c r="E28" s="27"/>
      <c r="F28" s="28"/>
    </row>
    <row r="29" ht="34.5" spans="1:6">
      <c r="A29" s="24">
        <v>27</v>
      </c>
      <c r="B29" s="30"/>
      <c r="C29" s="26" t="s">
        <v>104</v>
      </c>
      <c r="D29" s="24"/>
      <c r="E29" s="27"/>
      <c r="F29" s="28"/>
    </row>
    <row r="30" ht="17.25" spans="1:6">
      <c r="A30" s="24">
        <v>28</v>
      </c>
      <c r="B30" s="30"/>
      <c r="C30" s="26" t="s">
        <v>105</v>
      </c>
      <c r="D30" s="24"/>
      <c r="E30" s="27"/>
      <c r="F30" s="28"/>
    </row>
    <row r="31" ht="34.5" spans="1:6">
      <c r="A31" s="24">
        <v>29</v>
      </c>
      <c r="B31" s="30"/>
      <c r="C31" s="26" t="s">
        <v>106</v>
      </c>
      <c r="D31" s="24"/>
      <c r="E31" s="27"/>
      <c r="F31" s="28"/>
    </row>
    <row r="32" ht="35.25" spans="1:6">
      <c r="A32" s="24">
        <v>30</v>
      </c>
      <c r="B32" s="30"/>
      <c r="C32" s="26" t="s">
        <v>107</v>
      </c>
      <c r="D32" s="24"/>
      <c r="E32" s="27"/>
      <c r="F32" s="28"/>
    </row>
    <row r="33" ht="45" customHeight="1" spans="1:6">
      <c r="A33" s="24">
        <v>31</v>
      </c>
      <c r="B33" s="32"/>
      <c r="C33" s="31" t="s">
        <v>108</v>
      </c>
      <c r="D33" s="24"/>
      <c r="E33" s="27"/>
      <c r="F33" s="28"/>
    </row>
    <row r="34" ht="67.5" customHeight="1" spans="1:6">
      <c r="A34" s="24">
        <v>32</v>
      </c>
      <c r="B34" s="25" t="s">
        <v>109</v>
      </c>
      <c r="C34" s="26" t="s">
        <v>110</v>
      </c>
      <c r="D34" s="24"/>
      <c r="E34" s="27"/>
      <c r="F34" s="28"/>
    </row>
    <row r="35" ht="34.5" spans="1:6">
      <c r="A35" s="24">
        <v>33</v>
      </c>
      <c r="B35" s="29" t="s">
        <v>111</v>
      </c>
      <c r="C35" s="26" t="s">
        <v>112</v>
      </c>
      <c r="D35" s="24"/>
      <c r="E35" s="27"/>
      <c r="F35" s="28"/>
    </row>
    <row r="36" ht="34.5" spans="1:6">
      <c r="A36" s="24">
        <v>34</v>
      </c>
      <c r="B36" s="30"/>
      <c r="C36" s="26" t="s">
        <v>113</v>
      </c>
      <c r="D36" s="24"/>
      <c r="E36" s="27"/>
      <c r="F36" s="28"/>
    </row>
    <row r="37" ht="34.5" spans="1:6">
      <c r="A37" s="24">
        <v>35</v>
      </c>
      <c r="B37" s="30"/>
      <c r="C37" s="33" t="s">
        <v>114</v>
      </c>
      <c r="D37" s="24"/>
      <c r="E37" s="27"/>
      <c r="F37" s="28"/>
    </row>
    <row r="38" ht="17.25" spans="1:6">
      <c r="A38" s="24">
        <v>36</v>
      </c>
      <c r="B38" s="32"/>
      <c r="C38" s="26" t="s">
        <v>115</v>
      </c>
      <c r="D38" s="24"/>
      <c r="E38" s="27"/>
      <c r="F38" s="28"/>
    </row>
    <row r="39" ht="18" spans="1:6">
      <c r="A39" s="24">
        <v>37</v>
      </c>
      <c r="B39" s="25" t="s">
        <v>116</v>
      </c>
      <c r="C39" s="26" t="s">
        <v>117</v>
      </c>
      <c r="D39" s="24"/>
      <c r="E39" s="27"/>
      <c r="F39" s="28"/>
    </row>
    <row r="40" ht="17.25" spans="1:6">
      <c r="A40" s="24">
        <v>38</v>
      </c>
      <c r="B40" s="25"/>
      <c r="C40" s="26" t="s">
        <v>118</v>
      </c>
      <c r="D40" s="24"/>
      <c r="E40" s="27"/>
      <c r="F40" s="28"/>
    </row>
    <row r="41" ht="17.25" spans="1:6">
      <c r="A41" s="24">
        <v>39</v>
      </c>
      <c r="B41" s="25"/>
      <c r="C41" s="26" t="s">
        <v>119</v>
      </c>
      <c r="D41" s="24"/>
      <c r="E41" s="27"/>
      <c r="F41" s="28"/>
    </row>
    <row r="42" ht="17.25" spans="1:6">
      <c r="A42" s="24">
        <v>40</v>
      </c>
      <c r="B42" s="25"/>
      <c r="C42" s="26" t="s">
        <v>120</v>
      </c>
      <c r="D42" s="24"/>
      <c r="E42" s="27"/>
      <c r="F42" s="28"/>
    </row>
    <row r="43" ht="17.25" spans="1:6">
      <c r="A43" s="24">
        <v>41</v>
      </c>
      <c r="B43" s="25"/>
      <c r="C43" s="26" t="s">
        <v>121</v>
      </c>
      <c r="D43" s="24"/>
      <c r="E43" s="27"/>
      <c r="F43" s="28"/>
    </row>
    <row r="44" ht="35.25" spans="1:6">
      <c r="A44" s="24">
        <v>42</v>
      </c>
      <c r="B44" s="25"/>
      <c r="C44" s="26" t="s">
        <v>122</v>
      </c>
      <c r="D44" s="24"/>
      <c r="E44" s="27"/>
      <c r="F44" s="28"/>
    </row>
    <row r="45" ht="17.25" spans="1:6">
      <c r="A45" s="24">
        <v>43</v>
      </c>
      <c r="B45" s="25"/>
      <c r="C45" s="34" t="s">
        <v>123</v>
      </c>
      <c r="D45" s="24"/>
      <c r="E45" s="27"/>
      <c r="F45" s="28"/>
    </row>
    <row r="46" ht="17.25" spans="1:6">
      <c r="A46" s="24">
        <v>44</v>
      </c>
      <c r="B46" s="25"/>
      <c r="C46" s="34" t="s">
        <v>124</v>
      </c>
      <c r="D46" s="24"/>
      <c r="E46" s="27"/>
      <c r="F46" s="28"/>
    </row>
    <row r="47" ht="34.5" spans="1:6">
      <c r="A47" s="24">
        <v>45</v>
      </c>
      <c r="B47" s="25"/>
      <c r="C47" s="26" t="s">
        <v>125</v>
      </c>
      <c r="D47" s="24"/>
      <c r="E47" s="27"/>
      <c r="F47" s="28"/>
    </row>
    <row r="48" ht="34.5" spans="1:6">
      <c r="A48" s="24">
        <v>46</v>
      </c>
      <c r="B48" s="25"/>
      <c r="C48" s="26" t="s">
        <v>126</v>
      </c>
      <c r="D48" s="24"/>
      <c r="E48" s="27"/>
      <c r="F48" s="28"/>
    </row>
    <row r="49" ht="34.5" spans="1:6">
      <c r="A49" s="24">
        <v>47</v>
      </c>
      <c r="B49" s="25"/>
      <c r="C49" s="26" t="s">
        <v>127</v>
      </c>
      <c r="D49" s="24"/>
      <c r="E49" s="27"/>
      <c r="F49" s="28"/>
    </row>
    <row r="50" ht="17.25" spans="1:6">
      <c r="A50" s="24">
        <v>48</v>
      </c>
      <c r="B50" s="25" t="s">
        <v>128</v>
      </c>
      <c r="C50" s="26" t="s">
        <v>129</v>
      </c>
      <c r="D50" s="24"/>
      <c r="E50" s="27"/>
      <c r="F50" s="28"/>
    </row>
    <row r="51" ht="17.25" spans="1:6">
      <c r="A51" s="24">
        <v>49</v>
      </c>
      <c r="B51" s="25"/>
      <c r="C51" s="26" t="s">
        <v>130</v>
      </c>
      <c r="D51" s="24"/>
      <c r="E51" s="27"/>
      <c r="F51" s="28"/>
    </row>
    <row r="52" ht="17.25" spans="1:6">
      <c r="A52" s="24">
        <v>50</v>
      </c>
      <c r="B52" s="25"/>
      <c r="C52" s="26" t="s">
        <v>131</v>
      </c>
      <c r="D52" s="24"/>
      <c r="E52" s="27"/>
      <c r="F52" s="28"/>
    </row>
    <row r="53" ht="17.25" spans="1:6">
      <c r="A53" s="24">
        <v>51</v>
      </c>
      <c r="B53" s="25"/>
      <c r="C53" s="26" t="s">
        <v>132</v>
      </c>
      <c r="D53" s="24"/>
      <c r="E53" s="27"/>
      <c r="F53" s="28"/>
    </row>
    <row r="54" ht="17.25" spans="1:6">
      <c r="A54" s="24">
        <v>52</v>
      </c>
      <c r="B54" s="25"/>
      <c r="C54" s="26" t="s">
        <v>133</v>
      </c>
      <c r="D54" s="24"/>
      <c r="E54" s="27"/>
      <c r="F54" s="28"/>
    </row>
    <row r="55" ht="54" spans="1:6">
      <c r="A55" s="24">
        <v>53</v>
      </c>
      <c r="B55" s="25"/>
      <c r="C55" s="31" t="s">
        <v>134</v>
      </c>
      <c r="D55" s="24"/>
      <c r="E55" s="27"/>
      <c r="F55" s="28"/>
    </row>
    <row r="56" ht="34.5" spans="1:6">
      <c r="A56" s="24">
        <v>54</v>
      </c>
      <c r="B56" s="25"/>
      <c r="C56" s="26" t="s">
        <v>135</v>
      </c>
      <c r="D56" s="24"/>
      <c r="E56" s="27"/>
      <c r="F56" s="28"/>
    </row>
    <row r="57" ht="17.25" spans="1:6">
      <c r="A57" s="24">
        <v>55</v>
      </c>
      <c r="B57" s="25"/>
      <c r="C57" s="26" t="s">
        <v>136</v>
      </c>
      <c r="D57" s="24"/>
      <c r="E57" s="27"/>
      <c r="F57" s="28"/>
    </row>
    <row r="58" ht="18" spans="1:6">
      <c r="A58" s="24">
        <v>56</v>
      </c>
      <c r="B58" s="25"/>
      <c r="C58" s="26" t="s">
        <v>137</v>
      </c>
      <c r="D58" s="24"/>
      <c r="E58" s="27"/>
      <c r="F58" s="28"/>
    </row>
    <row r="59" ht="17.25" spans="1:6">
      <c r="A59" s="24">
        <v>57</v>
      </c>
      <c r="B59" s="25"/>
      <c r="C59" s="26" t="s">
        <v>138</v>
      </c>
      <c r="D59" s="24"/>
      <c r="E59" s="27"/>
      <c r="F59" s="28"/>
    </row>
    <row r="60" ht="17.25" spans="1:6">
      <c r="A60" s="24">
        <v>58</v>
      </c>
      <c r="B60" s="25"/>
      <c r="C60" s="26" t="s">
        <v>139</v>
      </c>
      <c r="D60" s="24"/>
      <c r="E60" s="27"/>
      <c r="F60" s="28"/>
    </row>
    <row r="61" ht="34.5" spans="1:6">
      <c r="A61" s="24">
        <v>59</v>
      </c>
      <c r="B61" s="25"/>
      <c r="C61" s="26" t="s">
        <v>140</v>
      </c>
      <c r="D61" s="24"/>
      <c r="E61" s="27"/>
      <c r="F61" s="28"/>
    </row>
    <row r="62" ht="17.25" spans="1:6">
      <c r="A62" s="24">
        <v>60</v>
      </c>
      <c r="B62" s="25"/>
      <c r="C62" s="26" t="s">
        <v>141</v>
      </c>
      <c r="D62" s="24"/>
      <c r="E62" s="27"/>
      <c r="F62" s="28"/>
    </row>
    <row r="63" ht="17.25" spans="1:6">
      <c r="A63" s="24">
        <v>61</v>
      </c>
      <c r="B63" s="29" t="s">
        <v>142</v>
      </c>
      <c r="C63" s="26" t="s">
        <v>143</v>
      </c>
      <c r="D63" s="24"/>
      <c r="E63" s="27"/>
      <c r="F63" s="28"/>
    </row>
    <row r="64" ht="17.25" spans="1:6">
      <c r="A64" s="24">
        <v>62</v>
      </c>
      <c r="B64" s="30"/>
      <c r="C64" s="26" t="s">
        <v>144</v>
      </c>
      <c r="D64" s="24"/>
      <c r="E64" s="27"/>
      <c r="F64" s="28"/>
    </row>
    <row r="65" ht="34.5" spans="1:6">
      <c r="A65" s="24">
        <v>63</v>
      </c>
      <c r="B65" s="30" t="s">
        <v>145</v>
      </c>
      <c r="C65" s="26" t="s">
        <v>146</v>
      </c>
      <c r="D65" s="24"/>
      <c r="E65" s="27"/>
      <c r="F65" s="28"/>
    </row>
    <row r="66" ht="34.5" spans="1:6">
      <c r="A66" s="24">
        <v>64</v>
      </c>
      <c r="B66" s="32"/>
      <c r="C66" s="26" t="s">
        <v>147</v>
      </c>
      <c r="D66" s="24"/>
      <c r="E66" s="27"/>
      <c r="F66" s="28"/>
    </row>
    <row r="67" ht="34.5" spans="1:6">
      <c r="A67" s="24">
        <v>65</v>
      </c>
      <c r="B67" s="25" t="s">
        <v>148</v>
      </c>
      <c r="C67" s="26" t="s">
        <v>149</v>
      </c>
      <c r="D67" s="24"/>
      <c r="E67" s="27"/>
      <c r="F67" s="28"/>
    </row>
  </sheetData>
  <mergeCells count="13">
    <mergeCell ref="D1:E1"/>
    <mergeCell ref="A1:A2"/>
    <mergeCell ref="B1:B2"/>
    <mergeCell ref="B3:B10"/>
    <mergeCell ref="B11:B18"/>
    <mergeCell ref="B19:B33"/>
    <mergeCell ref="B35:B38"/>
    <mergeCell ref="B39:B49"/>
    <mergeCell ref="B50:B62"/>
    <mergeCell ref="B63:B64"/>
    <mergeCell ref="B65:B66"/>
    <mergeCell ref="C1:C2"/>
    <mergeCell ref="F1:F2"/>
  </mergeCells>
  <conditionalFormatting sqref="D3:D67">
    <cfRule type="cellIs" dxfId="8" priority="1" stopIfTrue="1" operator="equal">
      <formula>"fail"</formula>
    </cfRule>
    <cfRule type="cellIs" dxfId="9" priority="2" stopIfTrue="1" operator="equal">
      <formula>"pass"</formula>
    </cfRule>
  </conditionalFormatting>
  <dataValidations count="2">
    <dataValidation allowBlank="1" showInputMessage="1" showErrorMessage="1" sqref="D2"/>
    <dataValidation type="list" allowBlank="1" showInputMessage="1" showErrorMessage="1" sqref="D24 D3:D17 D18:D23 D25:D67">
      <formula1>"NA,PASS,FAIL"</formula1>
    </dataValidation>
  </dataValidations>
  <pageMargins left="0.707638888888889" right="0.707638888888889" top="0.747916666666667" bottom="0.747916666666667" header="0.313888888888889" footer="0.313888888888889"/>
  <pageSetup paperSize="9" scale="99" orientation="landscape"/>
  <headerFooter alignWithMargins="0">
    <oddHeader>&amp;L&amp;G&amp;C&amp;G&amp;R秘密▲5年</oddHeader>
    <oddFooter>&amp;C全志科技版权所有，侵权必究
Copyright © 2018 by Allwinner. All rights reserved&amp;RPage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F20"/>
  <sheetViews>
    <sheetView workbookViewId="0">
      <selection activeCell="E11" sqref="E11"/>
    </sheetView>
  </sheetViews>
  <sheetFormatPr defaultColWidth="9" defaultRowHeight="13.5" outlineLevelCol="5"/>
  <cols>
    <col min="1" max="1" width="9" style="1"/>
    <col min="2" max="2" width="8.875" style="1" customWidth="1"/>
    <col min="3" max="3" width="57.2583333333333" style="1" customWidth="1"/>
    <col min="4" max="4" width="13.125" style="1" customWidth="1"/>
    <col min="5" max="5" width="22.875" style="1" customWidth="1"/>
    <col min="6" max="6" width="22.375" style="1" customWidth="1"/>
    <col min="7" max="16384" width="9" style="1"/>
  </cols>
  <sheetData>
    <row r="1" ht="21.75" spans="1:6">
      <c r="A1" s="2" t="s">
        <v>19</v>
      </c>
      <c r="B1" s="3" t="s">
        <v>20</v>
      </c>
      <c r="C1" s="2" t="s">
        <v>21</v>
      </c>
      <c r="D1" s="4" t="s">
        <v>22</v>
      </c>
      <c r="E1" s="5"/>
      <c r="F1" s="2" t="s">
        <v>23</v>
      </c>
    </row>
    <row r="2" ht="21" spans="1:6">
      <c r="A2" s="6"/>
      <c r="B2" s="7"/>
      <c r="C2" s="6"/>
      <c r="D2" s="8" t="s">
        <v>24</v>
      </c>
      <c r="E2" s="8" t="s">
        <v>25</v>
      </c>
      <c r="F2" s="6"/>
    </row>
    <row r="3" ht="34.5" spans="1:6">
      <c r="A3" s="9">
        <v>1</v>
      </c>
      <c r="B3" s="9"/>
      <c r="C3" s="22" t="s">
        <v>150</v>
      </c>
      <c r="D3" s="9" t="s">
        <v>12</v>
      </c>
      <c r="E3" s="11"/>
      <c r="F3" s="11"/>
    </row>
    <row r="4" ht="34.5" spans="1:6">
      <c r="A4" s="9">
        <v>2</v>
      </c>
      <c r="B4" s="9"/>
      <c r="C4" s="23" t="s">
        <v>151</v>
      </c>
      <c r="D4" s="9" t="s">
        <v>13</v>
      </c>
      <c r="E4" s="11"/>
      <c r="F4" s="11"/>
    </row>
    <row r="5" ht="17.25" spans="1:6">
      <c r="A5" s="9">
        <v>3</v>
      </c>
      <c r="B5" s="9"/>
      <c r="C5" s="23" t="s">
        <v>152</v>
      </c>
      <c r="D5" s="9" t="s">
        <v>14</v>
      </c>
      <c r="E5" s="11"/>
      <c r="F5" s="11"/>
    </row>
    <row r="6" ht="34.5" spans="1:6">
      <c r="A6" s="9">
        <v>4</v>
      </c>
      <c r="B6" s="9"/>
      <c r="C6" s="11" t="s">
        <v>153</v>
      </c>
      <c r="D6" s="9"/>
      <c r="E6" s="11"/>
      <c r="F6" s="11"/>
    </row>
    <row r="7" ht="17.25" spans="1:6">
      <c r="A7" s="9">
        <v>5</v>
      </c>
      <c r="B7" s="9"/>
      <c r="C7" s="11" t="s">
        <v>154</v>
      </c>
      <c r="D7" s="9"/>
      <c r="E7" s="11"/>
      <c r="F7" s="11"/>
    </row>
    <row r="8" ht="17.25" spans="1:6">
      <c r="A8" s="9">
        <v>6</v>
      </c>
      <c r="B8" s="9"/>
      <c r="C8" s="22" t="s">
        <v>155</v>
      </c>
      <c r="D8" s="9"/>
      <c r="E8" s="11"/>
      <c r="F8" s="11"/>
    </row>
    <row r="9" ht="17.25" spans="1:6">
      <c r="A9" s="9">
        <v>7</v>
      </c>
      <c r="B9" s="9"/>
      <c r="C9" s="11" t="s">
        <v>156</v>
      </c>
      <c r="D9" s="9"/>
      <c r="E9" s="11"/>
      <c r="F9" s="11"/>
    </row>
    <row r="10" ht="17.25" spans="1:6">
      <c r="A10" s="9">
        <v>8</v>
      </c>
      <c r="B10" s="9"/>
      <c r="C10" s="11" t="s">
        <v>157</v>
      </c>
      <c r="D10" s="9"/>
      <c r="E10" s="11"/>
      <c r="F10" s="11"/>
    </row>
    <row r="11" ht="34.5" spans="1:6">
      <c r="A11" s="9">
        <v>9</v>
      </c>
      <c r="B11" s="9"/>
      <c r="C11" s="11" t="s">
        <v>158</v>
      </c>
      <c r="D11" s="9"/>
      <c r="E11" s="11"/>
      <c r="F11" s="11"/>
    </row>
    <row r="12" ht="21" spans="1:6">
      <c r="A12" s="16"/>
      <c r="B12" s="17"/>
      <c r="C12" s="18"/>
      <c r="D12" s="19"/>
      <c r="E12" s="18"/>
      <c r="F12" s="18"/>
    </row>
    <row r="13" ht="21" spans="1:6">
      <c r="A13" s="16"/>
      <c r="B13" s="17"/>
      <c r="C13" s="18"/>
      <c r="D13" s="19"/>
      <c r="E13" s="18"/>
      <c r="F13" s="18"/>
    </row>
    <row r="14" ht="21" spans="1:6">
      <c r="A14" s="16"/>
      <c r="B14" s="17"/>
      <c r="C14" s="18"/>
      <c r="D14" s="19"/>
      <c r="E14" s="18"/>
      <c r="F14" s="18"/>
    </row>
    <row r="15" ht="21" spans="1:6">
      <c r="A15" s="16"/>
      <c r="B15" s="17"/>
      <c r="C15" s="18"/>
      <c r="D15" s="19"/>
      <c r="E15" s="18"/>
      <c r="F15" s="18"/>
    </row>
    <row r="16" ht="21" spans="1:6">
      <c r="A16" s="16"/>
      <c r="B16" s="17"/>
      <c r="C16" s="18"/>
      <c r="D16" s="19"/>
      <c r="E16" s="18"/>
      <c r="F16" s="18"/>
    </row>
    <row r="17" ht="21" spans="1:6">
      <c r="A17" s="16"/>
      <c r="B17" s="17"/>
      <c r="C17" s="18"/>
      <c r="D17" s="19"/>
      <c r="E17" s="18"/>
      <c r="F17" s="18"/>
    </row>
    <row r="18" ht="21" spans="1:6">
      <c r="A18" s="16"/>
      <c r="B18" s="17"/>
      <c r="C18" s="18"/>
      <c r="D18" s="19"/>
      <c r="E18" s="18"/>
      <c r="F18" s="18"/>
    </row>
    <row r="19" ht="21" spans="1:6">
      <c r="A19" s="16"/>
      <c r="B19" s="17"/>
      <c r="C19" s="18"/>
      <c r="D19" s="19"/>
      <c r="E19" s="18"/>
      <c r="F19" s="18"/>
    </row>
    <row r="20" ht="21" spans="1:6">
      <c r="A20" s="16"/>
      <c r="B20" s="17"/>
      <c r="C20" s="18"/>
      <c r="D20" s="19"/>
      <c r="E20" s="18"/>
      <c r="F20" s="18"/>
    </row>
  </sheetData>
  <mergeCells count="5">
    <mergeCell ref="D1:E1"/>
    <mergeCell ref="A1:A2"/>
    <mergeCell ref="B1:B2"/>
    <mergeCell ref="C1:C2"/>
    <mergeCell ref="F1:F2"/>
  </mergeCells>
  <conditionalFormatting sqref="D3:D11">
    <cfRule type="cellIs" dxfId="10" priority="2" stopIfTrue="1" operator="equal">
      <formula>"pass"</formula>
    </cfRule>
    <cfRule type="cellIs" dxfId="11" priority="1" stopIfTrue="1" operator="equal">
      <formula>"fail"</formula>
    </cfRule>
  </conditionalFormatting>
  <dataValidations count="2">
    <dataValidation allowBlank="1" showInputMessage="1" showErrorMessage="1" sqref="D2"/>
    <dataValidation type="list" allowBlank="1" showInputMessage="1" showErrorMessage="1" sqref="D3:D11">
      <formula1>"NA,PASS,FAIL"</formula1>
    </dataValidation>
  </dataValidations>
  <pageMargins left="0.707638888888889" right="0.707638888888889" top="0.747916666666667" bottom="0.747916666666667" header="0.313888888888889" footer="0.313888888888889"/>
  <pageSetup paperSize="9" scale="99" orientation="landscape"/>
  <headerFooter alignWithMargins="0">
    <oddHeader>&amp;L&amp;G&amp;C&amp;G&amp;R秘密▲5年</oddHeader>
    <oddFooter>&amp;C全志科技版权所有，侵权必究
Copyright © 2018 by Allwinner. All rights reserved&amp;RPage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F20"/>
  <sheetViews>
    <sheetView workbookViewId="0">
      <selection activeCell="J11" sqref="J11"/>
    </sheetView>
  </sheetViews>
  <sheetFormatPr defaultColWidth="9" defaultRowHeight="13.5" outlineLevelCol="5"/>
  <cols>
    <col min="1" max="1" width="9" style="1"/>
    <col min="2" max="2" width="8.875" style="1" customWidth="1"/>
    <col min="3" max="3" width="57.2583333333333" style="1" customWidth="1"/>
    <col min="4" max="4" width="13.125" style="1" customWidth="1"/>
    <col min="5" max="5" width="22.875" style="1" customWidth="1"/>
    <col min="6" max="6" width="22.375" style="1" customWidth="1"/>
    <col min="7" max="16384" width="9" style="1"/>
  </cols>
  <sheetData>
    <row r="1" ht="21.75" spans="1:6">
      <c r="A1" s="2" t="s">
        <v>19</v>
      </c>
      <c r="B1" s="3" t="s">
        <v>20</v>
      </c>
      <c r="C1" s="2" t="s">
        <v>21</v>
      </c>
      <c r="D1" s="4" t="s">
        <v>22</v>
      </c>
      <c r="E1" s="5"/>
      <c r="F1" s="2" t="s">
        <v>23</v>
      </c>
    </row>
    <row r="2" ht="21" spans="1:6">
      <c r="A2" s="6"/>
      <c r="B2" s="7"/>
      <c r="C2" s="6"/>
      <c r="D2" s="8" t="s">
        <v>24</v>
      </c>
      <c r="E2" s="8" t="s">
        <v>25</v>
      </c>
      <c r="F2" s="6"/>
    </row>
    <row r="3" ht="17.25" spans="1:6">
      <c r="A3" s="9">
        <v>1</v>
      </c>
      <c r="B3" s="9"/>
      <c r="C3" s="11" t="s">
        <v>159</v>
      </c>
      <c r="D3" s="9" t="s">
        <v>12</v>
      </c>
      <c r="E3" s="11"/>
      <c r="F3" s="11"/>
    </row>
    <row r="4" ht="17.25" spans="1:6">
      <c r="A4" s="9">
        <v>2</v>
      </c>
      <c r="B4" s="9"/>
      <c r="C4" s="11" t="s">
        <v>160</v>
      </c>
      <c r="D4" s="9" t="s">
        <v>13</v>
      </c>
      <c r="E4" s="11"/>
      <c r="F4" s="11"/>
    </row>
    <row r="5" ht="17.25" spans="1:6">
      <c r="A5" s="9">
        <v>3</v>
      </c>
      <c r="B5" s="9"/>
      <c r="C5" s="11" t="s">
        <v>161</v>
      </c>
      <c r="D5" s="9" t="s">
        <v>14</v>
      </c>
      <c r="E5" s="11"/>
      <c r="F5" s="11"/>
    </row>
    <row r="6" ht="17.25" spans="1:6">
      <c r="A6" s="9">
        <v>4</v>
      </c>
      <c r="B6" s="9"/>
      <c r="C6" s="20" t="s">
        <v>162</v>
      </c>
      <c r="D6" s="9"/>
      <c r="E6" s="11"/>
      <c r="F6" s="11"/>
    </row>
    <row r="7" ht="17.25" spans="1:6">
      <c r="A7" s="9">
        <v>5</v>
      </c>
      <c r="B7" s="9"/>
      <c r="C7" s="20" t="s">
        <v>163</v>
      </c>
      <c r="D7" s="9"/>
      <c r="E7" s="11"/>
      <c r="F7" s="11"/>
    </row>
    <row r="8" ht="17.25" spans="1:6">
      <c r="A8" s="9">
        <v>6</v>
      </c>
      <c r="B8" s="9"/>
      <c r="C8" s="20" t="s">
        <v>164</v>
      </c>
      <c r="D8" s="9"/>
      <c r="E8" s="11"/>
      <c r="F8" s="11"/>
    </row>
    <row r="9" ht="17.25" spans="1:6">
      <c r="A9" s="9">
        <v>7</v>
      </c>
      <c r="B9" s="9"/>
      <c r="C9" s="20" t="s">
        <v>165</v>
      </c>
      <c r="D9" s="9"/>
      <c r="E9" s="11"/>
      <c r="F9" s="11"/>
    </row>
    <row r="10" ht="17.25" spans="1:6">
      <c r="A10" s="9">
        <v>8</v>
      </c>
      <c r="B10" s="9"/>
      <c r="C10" s="21" t="s">
        <v>166</v>
      </c>
      <c r="D10" s="9"/>
      <c r="E10" s="11"/>
      <c r="F10" s="11"/>
    </row>
    <row r="11" ht="17.25" spans="1:6">
      <c r="A11" s="9">
        <v>9</v>
      </c>
      <c r="B11" s="9"/>
      <c r="C11" s="11" t="s">
        <v>167</v>
      </c>
      <c r="D11" s="9"/>
      <c r="E11" s="11"/>
      <c r="F11" s="11"/>
    </row>
    <row r="12" ht="21" spans="1:6">
      <c r="A12" s="16"/>
      <c r="B12" s="17"/>
      <c r="C12" s="18"/>
      <c r="D12" s="19"/>
      <c r="E12" s="18"/>
      <c r="F12" s="18"/>
    </row>
    <row r="13" ht="21" spans="1:6">
      <c r="A13" s="16"/>
      <c r="B13" s="17"/>
      <c r="C13" s="18"/>
      <c r="D13" s="19"/>
      <c r="E13" s="18"/>
      <c r="F13" s="18"/>
    </row>
    <row r="14" ht="21" spans="1:6">
      <c r="A14" s="16"/>
      <c r="B14" s="17"/>
      <c r="C14" s="18"/>
      <c r="D14" s="19"/>
      <c r="E14" s="18"/>
      <c r="F14" s="18"/>
    </row>
    <row r="15" ht="21" spans="1:6">
      <c r="A15" s="16"/>
      <c r="B15" s="17"/>
      <c r="C15" s="18"/>
      <c r="D15" s="19"/>
      <c r="E15" s="18"/>
      <c r="F15" s="18"/>
    </row>
    <row r="16" ht="21" spans="1:6">
      <c r="A16" s="16"/>
      <c r="B16" s="17"/>
      <c r="C16" s="18"/>
      <c r="D16" s="19"/>
      <c r="E16" s="18"/>
      <c r="F16" s="18"/>
    </row>
    <row r="17" ht="21" spans="1:6">
      <c r="A17" s="16"/>
      <c r="B17" s="17"/>
      <c r="C17" s="18"/>
      <c r="D17" s="19"/>
      <c r="E17" s="18"/>
      <c r="F17" s="18"/>
    </row>
    <row r="18" ht="21" spans="1:6">
      <c r="A18" s="16"/>
      <c r="B18" s="17"/>
      <c r="C18" s="18"/>
      <c r="D18" s="19"/>
      <c r="E18" s="18"/>
      <c r="F18" s="18"/>
    </row>
    <row r="19" ht="21" spans="1:6">
      <c r="A19" s="16"/>
      <c r="B19" s="17"/>
      <c r="C19" s="18"/>
      <c r="D19" s="19"/>
      <c r="E19" s="18"/>
      <c r="F19" s="18"/>
    </row>
    <row r="20" ht="21" spans="1:6">
      <c r="A20" s="16"/>
      <c r="B20" s="17"/>
      <c r="C20" s="18"/>
      <c r="D20" s="19"/>
      <c r="E20" s="18"/>
      <c r="F20" s="18"/>
    </row>
  </sheetData>
  <mergeCells count="5">
    <mergeCell ref="D1:E1"/>
    <mergeCell ref="A1:A2"/>
    <mergeCell ref="B1:B2"/>
    <mergeCell ref="C1:C2"/>
    <mergeCell ref="F1:F2"/>
  </mergeCells>
  <conditionalFormatting sqref="D3:D11">
    <cfRule type="cellIs" dxfId="12" priority="2" stopIfTrue="1" operator="equal">
      <formula>"pass"</formula>
    </cfRule>
    <cfRule type="cellIs" dxfId="13" priority="1" stopIfTrue="1" operator="equal">
      <formula>"fail"</formula>
    </cfRule>
  </conditionalFormatting>
  <dataValidations count="2">
    <dataValidation allowBlank="1" showInputMessage="1" showErrorMessage="1" sqref="D2"/>
    <dataValidation type="list" allowBlank="1" showInputMessage="1" showErrorMessage="1" sqref="D3:D11">
      <formula1>"NA,PASS,FAIL"</formula1>
    </dataValidation>
  </dataValidations>
  <pageMargins left="0.707638888888889" right="0.707638888888889" top="0.747916666666667" bottom="0.747916666666667" header="0.313888888888889" footer="0.313888888888889"/>
  <pageSetup paperSize="9" scale="99" orientation="landscape"/>
  <headerFooter alignWithMargins="0">
    <oddHeader>&amp;L&amp;G&amp;C&amp;G&amp;R秘密▲5年</oddHeader>
    <oddFooter>&amp;C全志科技版权所有，侵权必究
Copyright © 2018 by Allwinner. All rights reserved&amp;RPage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F22"/>
  <sheetViews>
    <sheetView workbookViewId="0">
      <selection activeCell="E13" sqref="E13"/>
    </sheetView>
  </sheetViews>
  <sheetFormatPr defaultColWidth="9" defaultRowHeight="13.5" outlineLevelCol="5"/>
  <cols>
    <col min="1" max="1" width="9" style="1"/>
    <col min="2" max="2" width="8.875" style="1" customWidth="1"/>
    <col min="3" max="3" width="57.2583333333333" style="1" customWidth="1"/>
    <col min="4" max="4" width="13.125" style="1" customWidth="1"/>
    <col min="5" max="5" width="22.875" style="1" customWidth="1"/>
    <col min="6" max="6" width="22.375" style="1" customWidth="1"/>
    <col min="7" max="16384" width="9" style="1"/>
  </cols>
  <sheetData>
    <row r="1" ht="21.75" spans="1:6">
      <c r="A1" s="2" t="s">
        <v>19</v>
      </c>
      <c r="B1" s="3" t="s">
        <v>20</v>
      </c>
      <c r="C1" s="2" t="s">
        <v>21</v>
      </c>
      <c r="D1" s="4" t="s">
        <v>22</v>
      </c>
      <c r="E1" s="5"/>
      <c r="F1" s="2" t="s">
        <v>23</v>
      </c>
    </row>
    <row r="2" ht="21" spans="1:6">
      <c r="A2" s="6"/>
      <c r="B2" s="7"/>
      <c r="C2" s="6"/>
      <c r="D2" s="8" t="s">
        <v>24</v>
      </c>
      <c r="E2" s="8" t="s">
        <v>25</v>
      </c>
      <c r="F2" s="6"/>
    </row>
    <row r="3" ht="17.25" spans="1:6">
      <c r="A3" s="9">
        <v>1</v>
      </c>
      <c r="B3" s="9"/>
      <c r="C3" s="10" t="s">
        <v>168</v>
      </c>
      <c r="D3" s="9" t="s">
        <v>12</v>
      </c>
      <c r="E3" s="11"/>
      <c r="F3" s="11"/>
    </row>
    <row r="4" ht="35.25" spans="1:6">
      <c r="A4" s="9">
        <v>2</v>
      </c>
      <c r="B4" s="9"/>
      <c r="C4" s="12" t="s">
        <v>169</v>
      </c>
      <c r="D4" s="9" t="s">
        <v>13</v>
      </c>
      <c r="E4" s="11"/>
      <c r="F4" s="11"/>
    </row>
    <row r="5" ht="35.25" spans="1:6">
      <c r="A5" s="9">
        <v>3</v>
      </c>
      <c r="B5" s="9"/>
      <c r="C5" s="12" t="s">
        <v>170</v>
      </c>
      <c r="D5" s="9" t="s">
        <v>14</v>
      </c>
      <c r="E5" s="11"/>
      <c r="F5" s="11"/>
    </row>
    <row r="6" ht="17.25" spans="1:6">
      <c r="A6" s="9">
        <v>4</v>
      </c>
      <c r="B6" s="9"/>
      <c r="C6" s="10" t="s">
        <v>171</v>
      </c>
      <c r="D6" s="9"/>
      <c r="E6" s="11"/>
      <c r="F6" s="11"/>
    </row>
    <row r="7" ht="34.5" spans="1:6">
      <c r="A7" s="9">
        <v>5</v>
      </c>
      <c r="B7" s="9"/>
      <c r="C7" s="13" t="s">
        <v>172</v>
      </c>
      <c r="D7" s="9"/>
      <c r="E7" s="11"/>
      <c r="F7" s="11"/>
    </row>
    <row r="8" ht="17.25" spans="1:6">
      <c r="A8" s="9">
        <v>6</v>
      </c>
      <c r="B8" s="9"/>
      <c r="C8" s="13" t="s">
        <v>173</v>
      </c>
      <c r="D8" s="9"/>
      <c r="E8" s="11"/>
      <c r="F8" s="11"/>
    </row>
    <row r="9" ht="17.25" spans="1:6">
      <c r="A9" s="9">
        <v>7</v>
      </c>
      <c r="B9" s="9"/>
      <c r="C9" s="13" t="s">
        <v>174</v>
      </c>
      <c r="D9" s="9"/>
      <c r="E9" s="11"/>
      <c r="F9" s="11"/>
    </row>
    <row r="10" ht="17.25" spans="1:6">
      <c r="A10" s="9">
        <v>8</v>
      </c>
      <c r="B10" s="9"/>
      <c r="C10" s="13" t="s">
        <v>175</v>
      </c>
      <c r="D10" s="9"/>
      <c r="E10" s="11"/>
      <c r="F10" s="11"/>
    </row>
    <row r="11" ht="34.5" spans="1:6">
      <c r="A11" s="9">
        <v>9</v>
      </c>
      <c r="B11" s="9"/>
      <c r="C11" s="13" t="s">
        <v>176</v>
      </c>
      <c r="D11" s="9"/>
      <c r="E11" s="11"/>
      <c r="F11" s="11"/>
    </row>
    <row r="12" ht="17.25" spans="1:6">
      <c r="A12" s="9">
        <v>10</v>
      </c>
      <c r="B12" s="9"/>
      <c r="C12" s="13" t="s">
        <v>177</v>
      </c>
      <c r="D12" s="9"/>
      <c r="E12" s="11"/>
      <c r="F12" s="11"/>
    </row>
    <row r="13" ht="17.25" spans="1:6">
      <c r="A13" s="9">
        <v>11</v>
      </c>
      <c r="B13" s="9"/>
      <c r="C13" s="14" t="s">
        <v>178</v>
      </c>
      <c r="D13" s="9"/>
      <c r="E13" s="11"/>
      <c r="F13" s="11"/>
    </row>
    <row r="14" ht="34.5" spans="1:6">
      <c r="A14" s="9">
        <v>12</v>
      </c>
      <c r="B14" s="9"/>
      <c r="C14" s="13" t="s">
        <v>179</v>
      </c>
      <c r="D14" s="9"/>
      <c r="E14" s="11"/>
      <c r="F14" s="11"/>
    </row>
    <row r="15" ht="72" spans="1:6">
      <c r="A15" s="9">
        <v>13</v>
      </c>
      <c r="B15" s="9"/>
      <c r="C15" s="15" t="s">
        <v>180</v>
      </c>
      <c r="D15" s="9"/>
      <c r="E15" s="11"/>
      <c r="F15" s="11"/>
    </row>
    <row r="16" ht="17.25" spans="1:6">
      <c r="A16" s="9">
        <v>14</v>
      </c>
      <c r="B16" s="9"/>
      <c r="C16" s="13" t="s">
        <v>181</v>
      </c>
      <c r="D16" s="9"/>
      <c r="E16" s="11"/>
      <c r="F16" s="11"/>
    </row>
    <row r="17" ht="21" spans="1:6">
      <c r="A17" s="16"/>
      <c r="B17" s="17"/>
      <c r="C17" s="18"/>
      <c r="D17" s="19"/>
      <c r="E17" s="18"/>
      <c r="F17" s="18"/>
    </row>
    <row r="18" ht="21" spans="1:6">
      <c r="A18" s="16"/>
      <c r="B18" s="17"/>
      <c r="C18" s="18"/>
      <c r="D18" s="19"/>
      <c r="E18" s="18"/>
      <c r="F18" s="18"/>
    </row>
    <row r="19" ht="21" spans="1:6">
      <c r="A19" s="16"/>
      <c r="B19" s="17"/>
      <c r="C19" s="18"/>
      <c r="D19" s="19"/>
      <c r="E19" s="18"/>
      <c r="F19" s="18"/>
    </row>
    <row r="20" ht="21" spans="1:6">
      <c r="A20" s="16"/>
      <c r="B20" s="17"/>
      <c r="C20" s="18"/>
      <c r="D20" s="19"/>
      <c r="E20" s="18"/>
      <c r="F20" s="18"/>
    </row>
    <row r="21" ht="21" spans="1:6">
      <c r="A21" s="16"/>
      <c r="B21" s="17"/>
      <c r="C21" s="18"/>
      <c r="D21" s="19"/>
      <c r="E21" s="18"/>
      <c r="F21" s="18"/>
    </row>
    <row r="22" ht="21" spans="1:6">
      <c r="A22" s="16"/>
      <c r="B22" s="17"/>
      <c r="C22" s="18"/>
      <c r="D22" s="19"/>
      <c r="E22" s="18"/>
      <c r="F22" s="18"/>
    </row>
  </sheetData>
  <mergeCells count="5">
    <mergeCell ref="D1:E1"/>
    <mergeCell ref="A1:A2"/>
    <mergeCell ref="B1:B2"/>
    <mergeCell ref="C1:C2"/>
    <mergeCell ref="F1:F2"/>
  </mergeCells>
  <conditionalFormatting sqref="D3:D16">
    <cfRule type="cellIs" dxfId="14" priority="1" stopIfTrue="1" operator="equal">
      <formula>"fail"</formula>
    </cfRule>
    <cfRule type="cellIs" dxfId="15" priority="2" stopIfTrue="1" operator="equal">
      <formula>"pass"</formula>
    </cfRule>
  </conditionalFormatting>
  <dataValidations count="2">
    <dataValidation allowBlank="1" showInputMessage="1" showErrorMessage="1" sqref="D2"/>
    <dataValidation type="list" allowBlank="1" showInputMessage="1" showErrorMessage="1" sqref="D3:D16">
      <formula1>"NA,PASS,FAIL"</formula1>
    </dataValidation>
  </dataValidations>
  <pageMargins left="0.707638888888889" right="0.707638888888889" top="0.747916666666667" bottom="0.747916666666667" header="0.313888888888889" footer="0.313888888888889"/>
  <pageSetup paperSize="9" scale="99" orientation="landscape"/>
  <headerFooter alignWithMargins="0">
    <oddHeader>&amp;L&amp;G&amp;C&amp;G&amp;R秘密▲5年</oddHeader>
    <oddFooter>&amp;C全志科技版权所有，侵权必究
Copyright © 2018 by Allwinner. All rights reserved&amp;RPage &amp;P of &amp;N</oddFooter>
  </headerFooter>
</worksheet>
</file>

<file path=docProps/app.xml><?xml version="1.0" encoding="utf-8"?>
<Properties xmlns="http://schemas.openxmlformats.org/officeDocument/2006/extended-properties" xmlns:vt="http://schemas.openxmlformats.org/officeDocument/2006/docPropsVTypes">
  <Company>3万3</Company>
  <Application>Microsoft Excel</Application>
  <HeadingPairs>
    <vt:vector size="2" baseType="variant">
      <vt:variant>
        <vt:lpstr>工作表</vt:lpstr>
      </vt:variant>
      <vt:variant>
        <vt:i4>8</vt:i4>
      </vt:variant>
    </vt:vector>
  </HeadingPairs>
  <TitlesOfParts>
    <vt:vector size="8" baseType="lpstr">
      <vt:lpstr>Title</vt:lpstr>
      <vt:lpstr>Project</vt:lpstr>
      <vt:lpstr>Design</vt:lpstr>
      <vt:lpstr>Placement</vt:lpstr>
      <vt:lpstr>Routing</vt:lpstr>
      <vt:lpstr>Silkscreen</vt:lpstr>
      <vt:lpstr>DRC</vt:lpstr>
      <vt:lpstr>GerberOut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c:creator>
  <cp:lastModifiedBy>尹伟</cp:lastModifiedBy>
  <dcterms:created xsi:type="dcterms:W3CDTF">2006-09-16T00:00:00Z</dcterms:created>
  <cp:lastPrinted>2018-11-01T08:26:00Z</cp:lastPrinted>
  <dcterms:modified xsi:type="dcterms:W3CDTF">2020-11-20T03:02:26Z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2052-10.8.0.5715</vt:lpwstr>
  </property>
</Properties>
</file>